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mc:AlternateContent xmlns:mc="http://schemas.openxmlformats.org/markup-compatibility/2006">
    <mc:Choice Requires="x15">
      <x15ac:absPath xmlns:x15ac="http://schemas.microsoft.com/office/spreadsheetml/2010/11/ac" url="https://d.docs.live.net/A486111F92E5316A/Documents/"/>
    </mc:Choice>
  </mc:AlternateContent>
  <xr:revisionPtr revIDLastSave="0" documentId="8_{AAA6DED6-316F-4C11-8BB8-C774CBA3A28D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README" sheetId="2" r:id="rId1"/>
    <sheet name="Sales_Data" sheetId="1" r:id="rId2"/>
    <sheet name="Analysis" sheetId="3" r:id="rId3"/>
    <sheet name="Monthly analysis" sheetId="5" r:id="rId4"/>
    <sheet name="Top 10 Product by Sales" sheetId="7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2" i="1"/>
  <c r="B11" i="3"/>
  <c r="C11" i="3"/>
  <c r="B12" i="3"/>
  <c r="C12" i="3"/>
  <c r="C13" i="3"/>
  <c r="B13" i="3"/>
  <c r="B19" i="3"/>
  <c r="C19" i="3"/>
  <c r="C22" i="3"/>
  <c r="B22" i="3"/>
  <c r="B20" i="3"/>
  <c r="C20" i="3"/>
  <c r="C21" i="3"/>
  <c r="B21" i="3"/>
  <c r="B3" i="3"/>
  <c r="B6" i="3"/>
  <c r="B5" i="3"/>
  <c r="B4" i="3"/>
  <c r="B15" i="3"/>
</calcChain>
</file>

<file path=xl/sharedStrings.xml><?xml version="1.0" encoding="utf-8"?>
<sst xmlns="http://schemas.openxmlformats.org/spreadsheetml/2006/main" count="9690" uniqueCount="1345">
  <si>
    <t>Order_ID</t>
  </si>
  <si>
    <t>Order_Date</t>
  </si>
  <si>
    <t>Customer_Name</t>
  </si>
  <si>
    <t>Category</t>
  </si>
  <si>
    <t>Sub_Category</t>
  </si>
  <si>
    <t>Product_Name</t>
  </si>
  <si>
    <t>Region</t>
  </si>
  <si>
    <t>State</t>
  </si>
  <si>
    <t>Sales</t>
  </si>
  <si>
    <t>Quantity</t>
  </si>
  <si>
    <t>Discount</t>
  </si>
  <si>
    <t>Profit</t>
  </si>
  <si>
    <t>Payment_Mode</t>
  </si>
  <si>
    <t>ORD10001</t>
  </si>
  <si>
    <t>Aarav Sharma</t>
  </si>
  <si>
    <t>Office Supplies</t>
  </si>
  <si>
    <t>Paper</t>
  </si>
  <si>
    <t>Premium Paper</t>
  </si>
  <si>
    <t>North</t>
  </si>
  <si>
    <t>Haryana</t>
  </si>
  <si>
    <t>UPI</t>
  </si>
  <si>
    <t>ORD10002</t>
  </si>
  <si>
    <t>Rohan Khan</t>
  </si>
  <si>
    <t>Technology</t>
  </si>
  <si>
    <t>Smartphones</t>
  </si>
  <si>
    <t>Basic Smartphones</t>
  </si>
  <si>
    <t>Punjab</t>
  </si>
  <si>
    <t>Debit Card</t>
  </si>
  <si>
    <t>ORD10003</t>
  </si>
  <si>
    <t>Neha Yadav</t>
  </si>
  <si>
    <t>Furniture</t>
  </si>
  <si>
    <t>Desks</t>
  </si>
  <si>
    <t>Premium Desks</t>
  </si>
  <si>
    <t>South</t>
  </si>
  <si>
    <t>Telangana</t>
  </si>
  <si>
    <t>Net Banking</t>
  </si>
  <si>
    <t>ORD10004</t>
  </si>
  <si>
    <t>Priya Singh</t>
  </si>
  <si>
    <t>Keyboards</t>
  </si>
  <si>
    <t>Basic Keyboards</t>
  </si>
  <si>
    <t>Credit Card</t>
  </si>
  <si>
    <t>ORD10005</t>
  </si>
  <si>
    <t>East</t>
  </si>
  <si>
    <t>Jharkhand</t>
  </si>
  <si>
    <t>ORD10006</t>
  </si>
  <si>
    <t>Sneha Joshi</t>
  </si>
  <si>
    <t>Binders</t>
  </si>
  <si>
    <t>Standard Binders</t>
  </si>
  <si>
    <t>Tamil Nadu</t>
  </si>
  <si>
    <t>Cash</t>
  </si>
  <si>
    <t>ORD10007</t>
  </si>
  <si>
    <t>Aditya Mehta</t>
  </si>
  <si>
    <t>Chairs</t>
  </si>
  <si>
    <t>Premium Chairs</t>
  </si>
  <si>
    <t>ORD10008</t>
  </si>
  <si>
    <t>Rahul Verma</t>
  </si>
  <si>
    <t>Storage Boxes</t>
  </si>
  <si>
    <t>Standard Storage Boxes</t>
  </si>
  <si>
    <t>West</t>
  </si>
  <si>
    <t>Goa</t>
  </si>
  <si>
    <t>ORD10009</t>
  </si>
  <si>
    <t>Staplers</t>
  </si>
  <si>
    <t>Standard Staplers</t>
  </si>
  <si>
    <t>Uttar Pradesh</t>
  </si>
  <si>
    <t>ORD10010</t>
  </si>
  <si>
    <t>Pens</t>
  </si>
  <si>
    <t>Standard Pens</t>
  </si>
  <si>
    <t>ORD10011</t>
  </si>
  <si>
    <t>Vikram Patel</t>
  </si>
  <si>
    <t>ORD10012</t>
  </si>
  <si>
    <t>Delhi</t>
  </si>
  <si>
    <t>ORD10013</t>
  </si>
  <si>
    <t>Cabinets</t>
  </si>
  <si>
    <t>Basic Cabinets</t>
  </si>
  <si>
    <t>Gujarat</t>
  </si>
  <si>
    <t>ORD10014</t>
  </si>
  <si>
    <t>Ananya Gupta</t>
  </si>
  <si>
    <t>Premium Smartphones</t>
  </si>
  <si>
    <t>ORD10015</t>
  </si>
  <si>
    <t>Monitors</t>
  </si>
  <si>
    <t>Standard Monitors</t>
  </si>
  <si>
    <t>ORD10016</t>
  </si>
  <si>
    <t>Laptops</t>
  </si>
  <si>
    <t>Standard Laptops</t>
  </si>
  <si>
    <t>Rajasthan</t>
  </si>
  <si>
    <t>ORD10017</t>
  </si>
  <si>
    <t>Standard Smartphones</t>
  </si>
  <si>
    <t>ORD10018</t>
  </si>
  <si>
    <t>Premium Storage Boxes</t>
  </si>
  <si>
    <t>ORD10019</t>
  </si>
  <si>
    <t>Pooja Mishra</t>
  </si>
  <si>
    <t>Standard Keyboards</t>
  </si>
  <si>
    <t>ORD10020</t>
  </si>
  <si>
    <t>Basic Monitors</t>
  </si>
  <si>
    <t>ORD10021</t>
  </si>
  <si>
    <t>Maharashtra</t>
  </si>
  <si>
    <t>ORD10022</t>
  </si>
  <si>
    <t>Standard Desks</t>
  </si>
  <si>
    <t>Odisha</t>
  </si>
  <si>
    <t>ORD10023</t>
  </si>
  <si>
    <t>Basic Storage Boxes</t>
  </si>
  <si>
    <t>ORD10024</t>
  </si>
  <si>
    <t>West Bengal</t>
  </si>
  <si>
    <t>ORD10025</t>
  </si>
  <si>
    <t>Bookcases</t>
  </si>
  <si>
    <t>Premium Bookcases</t>
  </si>
  <si>
    <t>ORD10026</t>
  </si>
  <si>
    <t>Premium Monitors</t>
  </si>
  <si>
    <t>ORD10027</t>
  </si>
  <si>
    <t>Kerala</t>
  </si>
  <si>
    <t>ORD10028</t>
  </si>
  <si>
    <t>Premium Staplers</t>
  </si>
  <si>
    <t>ORD10029</t>
  </si>
  <si>
    <t>ORD10030</t>
  </si>
  <si>
    <t>ORD10031</t>
  </si>
  <si>
    <t>ORD10032</t>
  </si>
  <si>
    <t>Basic Binders</t>
  </si>
  <si>
    <t>ORD10033</t>
  </si>
  <si>
    <t>Basic Chairs</t>
  </si>
  <si>
    <t>Bihar</t>
  </si>
  <si>
    <t>ORD10034</t>
  </si>
  <si>
    <t>ORD10035</t>
  </si>
  <si>
    <t>Tables</t>
  </si>
  <si>
    <t>Basic Tables</t>
  </si>
  <si>
    <t>ORD10036</t>
  </si>
  <si>
    <t>ORD10037</t>
  </si>
  <si>
    <t>ORD10038</t>
  </si>
  <si>
    <t>Standard Chairs</t>
  </si>
  <si>
    <t>Karnataka</t>
  </si>
  <si>
    <t>ORD10039</t>
  </si>
  <si>
    <t>ORD10040</t>
  </si>
  <si>
    <t>Premium Tables</t>
  </si>
  <si>
    <t>ORD10041</t>
  </si>
  <si>
    <t>ORD10042</t>
  </si>
  <si>
    <t>ORD10043</t>
  </si>
  <si>
    <t>ORD10044</t>
  </si>
  <si>
    <t>ORD10045</t>
  </si>
  <si>
    <t>Standard Bookcases</t>
  </si>
  <si>
    <t>ORD10046</t>
  </si>
  <si>
    <t>ORD10047</t>
  </si>
  <si>
    <t>Premium Keyboards</t>
  </si>
  <si>
    <t>ORD10048</t>
  </si>
  <si>
    <t>ORD10049</t>
  </si>
  <si>
    <t>ORD10050</t>
  </si>
  <si>
    <t>Basic Staplers</t>
  </si>
  <si>
    <t>ORD10051</t>
  </si>
  <si>
    <t>ORD10052</t>
  </si>
  <si>
    <t>Premium Pens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</si>
  <si>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</si>
  <si>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</si>
  <si>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</si>
  <si>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</si>
  <si>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</si>
  <si>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</si>
  <si>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</si>
  <si>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</si>
  <si>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</si>
  <si>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</si>
  <si>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</si>
  <si>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</si>
  <si>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Standard Tables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</si>
  <si>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</si>
  <si>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</si>
  <si>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</si>
  <si>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</si>
  <si>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</si>
  <si>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</si>
  <si>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</si>
  <si>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</si>
  <si>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</si>
  <si>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Basic Bookcases</t>
  </si>
  <si>
    <t>ORD10074</t>
  </si>
  <si>
    <t>Printers</t>
  </si>
  <si>
    <t>Basic Printers</t>
  </si>
  <si>
    <t>ORD10075</t>
  </si>
  <si>
    <t>ORD10076</t>
  </si>
  <si>
    <t>Premium Binders</t>
  </si>
  <si>
    <t>ORD10077</t>
  </si>
  <si>
    <t>ORD10078</t>
  </si>
  <si>
    <t>ORD10079</t>
  </si>
  <si>
    <t>ORD10080</t>
  </si>
  <si>
    <t>ORD10081</t>
  </si>
  <si>
    <t>Premium Printers</t>
  </si>
  <si>
    <t>ORD10082</t>
  </si>
  <si>
    <t>ORD10083</t>
  </si>
  <si>
    <t>ORD10084</t>
  </si>
  <si>
    <t>ORD10085</t>
  </si>
  <si>
    <t>ORD10086</t>
  </si>
  <si>
    <t>Basic Desks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</si>
  <si>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</si>
  <si>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</si>
  <si>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</si>
  <si>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</si>
  <si>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</si>
  <si>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</si>
  <si>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</si>
  <si>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</si>
  <si>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</si>
  <si>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</si>
  <si>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</si>
  <si>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</si>
  <si>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</si>
  <si>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</si>
  <si>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</si>
  <si>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Standard Paper</t>
  </si>
  <si>
    <t>ORD10102</t>
  </si>
  <si>
    <t>ORD10103</t>
  </si>
  <si>
    <t>Standard Cabinets</t>
  </si>
  <si>
    <t>ORD10104</t>
  </si>
  <si>
    <t>ORD10105</t>
  </si>
  <si>
    <t>Standard Printers</t>
  </si>
  <si>
    <t>ORD10106</t>
  </si>
  <si>
    <t>ORD10107</t>
  </si>
  <si>
    <t>ORD10108</t>
  </si>
  <si>
    <t>ORD10109</t>
  </si>
  <si>
    <t>ORD10110</t>
  </si>
  <si>
    <t>ORD10111</t>
  </si>
  <si>
    <t>Premium Cabinets</t>
  </si>
  <si>
    <t>ORD10112</t>
  </si>
  <si>
    <t>ORD10113</t>
  </si>
  <si>
    <t>ORD10114</t>
  </si>
  <si>
    <t>ORD10115</t>
  </si>
  <si>
    <t>Basic Pens</t>
  </si>
  <si>
    <t>ORD10116</t>
  </si>
  <si>
    <t>ORD10117</t>
  </si>
  <si>
    <t>ORD10118</t>
  </si>
  <si>
    <t>ORD10119</t>
  </si>
  <si>
    <t>ORD10120</t>
  </si>
  <si>
    <t>ORD10121</t>
  </si>
  <si>
    <t>ORD10122</t>
  </si>
  <si>
    <t>Basic Paper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</si>
  <si>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</si>
  <si>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</si>
  <si>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</si>
  <si>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</si>
  <si>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</si>
  <si>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</si>
  <si>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</si>
  <si>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</si>
  <si>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</si>
  <si>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Basic Laptops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</si>
  <si>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</si>
  <si>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</si>
  <si>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</si>
  <si>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</si>
  <si>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</si>
  <si>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</si>
  <si>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</si>
  <si>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</si>
  <si>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</si>
  <si>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</si>
  <si>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</si>
  <si>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</si>
  <si>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</si>
  <si>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</si>
  <si>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</si>
  <si>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</si>
  <si>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</si>
  <si>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</si>
  <si>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</si>
  <si>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</si>
  <si>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</si>
  <si>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</si>
  <si>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</si>
  <si>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</si>
  <si>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Premium Laptops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</si>
  <si>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</si>
  <si>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</si>
  <si>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</si>
  <si>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</si>
  <si>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</si>
  <si>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</si>
  <si>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</si>
  <si>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</si>
  <si>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</si>
  <si>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</si>
  <si>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</si>
  <si>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</si>
  <si>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</si>
  <si>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</si>
  <si>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</si>
  <si>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</si>
  <si>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</si>
  <si>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</si>
  <si>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</si>
  <si>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</si>
  <si>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</si>
  <si>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</si>
  <si>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</si>
  <si>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</si>
  <si>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</si>
  <si>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</si>
  <si>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</si>
  <si>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</si>
  <si>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</si>
  <si>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</si>
  <si>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</si>
  <si>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</si>
  <si>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</si>
  <si>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</si>
  <si>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</si>
  <si>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</si>
  <si>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</si>
  <si>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</si>
  <si>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</si>
  <si>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</si>
  <si>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</si>
  <si>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</si>
  <si>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</si>
  <si>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</si>
  <si>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</si>
  <si>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</si>
  <si>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</si>
  <si>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</si>
  <si>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</si>
  <si>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</si>
  <si>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</si>
  <si>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</si>
  <si>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</si>
  <si>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</si>
  <si>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</si>
  <si>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</si>
  <si>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</si>
  <si>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</si>
  <si>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</si>
  <si>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</si>
  <si>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</si>
  <si>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</si>
  <si>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</si>
  <si>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</si>
  <si>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</si>
  <si>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</si>
  <si>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</si>
  <si>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</si>
  <si>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</si>
  <si>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</si>
  <si>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</si>
  <si>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</si>
  <si>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</si>
  <si>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</si>
  <si>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</si>
  <si>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</si>
  <si>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</si>
  <si>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</si>
  <si>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</si>
  <si>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</si>
  <si>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</si>
  <si>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</si>
  <si>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</si>
  <si>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</si>
  <si>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</si>
  <si>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</si>
  <si>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</si>
  <si>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</si>
  <si>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</si>
  <si>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</si>
  <si>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</si>
  <si>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</si>
  <si>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</si>
  <si>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</si>
  <si>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</si>
  <si>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</si>
  <si>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</si>
  <si>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</si>
  <si>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</si>
  <si>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</si>
  <si>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</si>
  <si>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</si>
  <si>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</si>
  <si>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</si>
  <si>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</si>
  <si>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</si>
  <si>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</si>
  <si>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</si>
  <si>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</si>
  <si>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</si>
  <si>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</si>
  <si>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</si>
  <si>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</si>
  <si>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</si>
  <si>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</si>
  <si>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</si>
  <si>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</si>
  <si>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</si>
  <si>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</si>
  <si>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</si>
  <si>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</si>
  <si>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</si>
  <si>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</si>
  <si>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</si>
  <si>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</si>
  <si>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</si>
  <si>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</si>
  <si>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</si>
  <si>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</si>
  <si>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</si>
  <si>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</si>
  <si>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</si>
  <si>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</si>
  <si>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</si>
  <si>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</si>
  <si>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</si>
  <si>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</si>
  <si>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</si>
  <si>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</si>
  <si>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</si>
  <si>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</si>
  <si>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</si>
  <si>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</si>
  <si>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</si>
  <si>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</si>
  <si>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</si>
  <si>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</si>
  <si>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</si>
  <si>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</si>
  <si>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</si>
  <si>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</si>
  <si>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</si>
  <si>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</si>
  <si>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</si>
  <si>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</si>
  <si>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</si>
  <si>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</si>
  <si>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</si>
  <si>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</si>
  <si>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</si>
  <si>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</si>
  <si>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</si>
  <si>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</si>
  <si>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</si>
  <si>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</si>
  <si>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</si>
  <si>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</si>
  <si>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</si>
  <si>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</si>
  <si>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</si>
  <si>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</si>
  <si>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</si>
  <si>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</si>
  <si>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</si>
  <si>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</si>
  <si>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</si>
  <si>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</si>
  <si>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</si>
  <si>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</si>
  <si>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</si>
  <si>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</si>
  <si>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</si>
  <si>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</si>
  <si>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</si>
  <si>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</si>
  <si>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</si>
  <si>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</si>
  <si>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</si>
  <si>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</si>
  <si>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</si>
  <si>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</si>
  <si>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</si>
  <si>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</si>
  <si>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</si>
  <si>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</si>
  <si>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</si>
  <si>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</si>
  <si>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</si>
  <si>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</si>
  <si>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</si>
  <si>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</si>
  <si>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</si>
  <si>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</si>
  <si>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</si>
  <si>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</si>
  <si>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</si>
  <si>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</si>
  <si>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</si>
  <si>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</si>
  <si>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</si>
  <si>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</si>
  <si>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</si>
  <si>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</si>
  <si>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</si>
  <si>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</si>
  <si>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</si>
  <si>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</si>
  <si>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</si>
  <si>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</si>
  <si>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</si>
  <si>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</si>
  <si>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</si>
  <si>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</si>
  <si>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</si>
  <si>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</si>
  <si>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</si>
  <si>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</si>
  <si>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</si>
  <si>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</si>
  <si>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</si>
  <si>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</si>
  <si>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</si>
  <si>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</si>
  <si>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</si>
  <si>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</si>
  <si>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</si>
  <si>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</si>
  <si>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</si>
  <si>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</si>
  <si>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</si>
  <si>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</si>
  <si>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</si>
  <si>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</si>
  <si>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</si>
  <si>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</si>
  <si>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</si>
  <si>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</si>
  <si>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</si>
  <si>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</si>
  <si>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</si>
  <si>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</si>
  <si>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</si>
  <si>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</si>
  <si>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</si>
  <si>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</si>
  <si>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</si>
  <si>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</si>
  <si>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</si>
  <si>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</si>
  <si>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</si>
  <si>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</si>
  <si>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</si>
  <si>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</si>
  <si>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</si>
  <si>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</si>
  <si>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</si>
  <si>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</si>
  <si>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</si>
  <si>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</si>
  <si>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</si>
  <si>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</si>
  <si>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</si>
  <si>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</si>
  <si>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</si>
  <si>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</si>
  <si>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</si>
  <si>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</si>
  <si>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</si>
  <si>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</si>
  <si>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</si>
  <si>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</si>
  <si>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</si>
  <si>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</si>
  <si>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</si>
  <si>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</si>
  <si>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</si>
  <si>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</si>
  <si>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</si>
  <si>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</si>
  <si>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</si>
  <si>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</si>
  <si>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</si>
  <si>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</si>
  <si>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</si>
  <si>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</si>
  <si>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</si>
  <si>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</si>
  <si>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</si>
  <si>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</si>
  <si>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</si>
  <si>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</si>
  <si>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</si>
  <si>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</si>
  <si>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</si>
  <si>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</si>
  <si>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</si>
  <si>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</si>
  <si>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</si>
  <si>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</si>
  <si>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</si>
  <si>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</si>
  <si>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</si>
  <si>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</si>
  <si>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</si>
  <si>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</si>
  <si>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</si>
  <si>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</si>
  <si>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</si>
  <si>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</si>
  <si>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</si>
  <si>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</si>
  <si>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</si>
  <si>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</si>
  <si>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</si>
  <si>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</si>
  <si>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</si>
  <si>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</si>
  <si>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</si>
  <si>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</si>
  <si>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</si>
  <si>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</si>
  <si>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</si>
  <si>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</si>
  <si>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</si>
  <si>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</si>
  <si>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</si>
  <si>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</si>
  <si>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</si>
  <si>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</si>
  <si>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</si>
  <si>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</si>
  <si>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</si>
  <si>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</si>
  <si>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</si>
  <si>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</si>
  <si>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</si>
  <si>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</si>
  <si>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</si>
  <si>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</si>
  <si>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</si>
  <si>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</si>
  <si>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</si>
  <si>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</si>
  <si>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</si>
  <si>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</si>
  <si>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</si>
  <si>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</si>
  <si>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</si>
  <si>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</si>
  <si>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</si>
  <si>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</si>
  <si>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</si>
  <si>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</si>
  <si>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</si>
  <si>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</si>
  <si>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</si>
  <si>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</si>
  <si>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</si>
  <si>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</si>
  <si>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</si>
  <si>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</si>
  <si>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</si>
  <si>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</si>
  <si>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</si>
  <si>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</si>
  <si>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</si>
  <si>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</si>
  <si>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</si>
  <si>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</si>
  <si>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</si>
  <si>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</si>
  <si>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</si>
  <si>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</si>
  <si>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</si>
  <si>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</si>
  <si>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</si>
  <si>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</si>
  <si>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</si>
  <si>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</si>
  <si>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</si>
  <si>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</si>
  <si>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</si>
  <si>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</si>
  <si>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</si>
  <si>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</si>
  <si>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</si>
  <si>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</si>
  <si>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</si>
  <si>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</si>
  <si>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</si>
  <si>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</si>
  <si>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</si>
  <si>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</si>
  <si>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</si>
  <si>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</si>
  <si>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</si>
  <si>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</si>
  <si>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</si>
  <si>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</si>
  <si>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</si>
  <si>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</si>
  <si>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</si>
  <si>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</si>
  <si>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</si>
  <si>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</si>
  <si>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</si>
  <si>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</si>
  <si>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</si>
  <si>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</si>
  <si>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</si>
  <si>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</si>
  <si>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</si>
  <si>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</si>
  <si>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</si>
  <si>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</si>
  <si>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</si>
  <si>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</si>
  <si>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</si>
  <si>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</si>
  <si>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</si>
  <si>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</si>
  <si>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</si>
  <si>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</si>
  <si>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</si>
  <si>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</si>
  <si>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</si>
  <si>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</si>
  <si>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</si>
  <si>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</si>
  <si>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</si>
  <si>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</si>
  <si>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</si>
  <si>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</si>
  <si>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</si>
  <si>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</si>
  <si>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</si>
  <si>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</si>
  <si>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</si>
  <si>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</si>
  <si>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</si>
  <si>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</si>
  <si>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</si>
  <si>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</si>
  <si>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</si>
  <si>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</si>
  <si>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</si>
  <si>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</si>
  <si>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</si>
  <si>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</si>
  <si>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</si>
  <si>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</si>
  <si>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</si>
  <si>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</si>
  <si>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</si>
  <si>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</si>
  <si>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</si>
  <si>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</si>
  <si>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</si>
  <si>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</si>
  <si>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</si>
  <si>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</si>
  <si>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</si>
  <si>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</si>
  <si>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</si>
  <si>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</si>
  <si>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</si>
  <si>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</si>
  <si>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</si>
  <si>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</si>
  <si>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</si>
  <si>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</si>
  <si>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</si>
  <si>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</si>
  <si>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</si>
  <si>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</si>
  <si>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</si>
  <si>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</si>
  <si>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</si>
  <si>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</si>
  <si>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</si>
  <si>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</si>
  <si>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</si>
  <si>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</si>
  <si>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</si>
  <si>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</si>
  <si>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</si>
  <si>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</si>
  <si>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</si>
  <si>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</si>
  <si>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</si>
  <si>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</si>
  <si>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</si>
  <si>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</si>
  <si>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</si>
  <si>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</si>
  <si>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</si>
  <si>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</si>
  <si>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</si>
  <si>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</si>
  <si>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</si>
  <si>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</si>
  <si>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</si>
  <si>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</si>
  <si>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</si>
  <si>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</si>
  <si>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</si>
  <si>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</si>
  <si>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</si>
  <si>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</si>
  <si>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</si>
  <si>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</si>
  <si>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</si>
  <si>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</si>
  <si>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</si>
  <si>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</si>
  <si>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</si>
  <si>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</si>
  <si>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</si>
  <si>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</si>
  <si>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</si>
  <si>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</si>
  <si>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</si>
  <si>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</si>
  <si>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</si>
  <si>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</si>
  <si>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</si>
  <si>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</si>
  <si>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</si>
  <si>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</si>
  <si>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</si>
  <si>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</si>
  <si>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</si>
  <si>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</si>
  <si>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</si>
  <si>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</si>
  <si>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</si>
  <si>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</si>
  <si>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</si>
  <si>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</si>
  <si>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</si>
  <si>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</si>
  <si>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</si>
  <si>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</si>
  <si>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</si>
  <si>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</si>
  <si>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</si>
  <si>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</si>
  <si>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</si>
  <si>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</si>
  <si>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</si>
  <si>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</si>
  <si>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</si>
  <si>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</si>
  <si>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</si>
  <si>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</si>
  <si>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</si>
  <si>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</si>
  <si>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</si>
  <si>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</si>
  <si>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</si>
  <si>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</si>
  <si>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</si>
  <si>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</si>
  <si>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</si>
  <si>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</si>
  <si>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</si>
  <si>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</si>
  <si>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</si>
  <si>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</si>
  <si>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</si>
  <si>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</si>
  <si>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</si>
  <si>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</si>
  <si>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</si>
  <si>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</si>
  <si>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</si>
  <si>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</si>
  <si>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</si>
  <si>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</si>
  <si>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</si>
  <si>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</si>
  <si>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</si>
  <si>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</si>
  <si>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</si>
  <si>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</si>
  <si>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</si>
  <si>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</si>
  <si>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</si>
  <si>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</si>
  <si>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</si>
  <si>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</si>
  <si>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</si>
  <si>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</si>
  <si>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</si>
  <si>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</si>
  <si>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</si>
  <si>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</si>
  <si>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</si>
  <si>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</si>
  <si>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</si>
  <si>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</si>
  <si>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</si>
  <si>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</si>
  <si>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</si>
  <si>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</si>
  <si>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</si>
  <si>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</si>
  <si>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</si>
  <si>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</si>
  <si>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</si>
  <si>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</si>
  <si>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</si>
  <si>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</si>
  <si>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</si>
  <si>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</si>
  <si>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</si>
  <si>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</si>
  <si>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</si>
  <si>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</si>
  <si>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</si>
  <si>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</si>
  <si>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</si>
  <si>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</si>
  <si>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</si>
  <si>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</si>
  <si>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</si>
  <si>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</si>
  <si>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</si>
  <si>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</si>
  <si>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</si>
  <si>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</si>
  <si>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</si>
  <si>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</si>
  <si>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</si>
  <si>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</si>
  <si>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</si>
  <si>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</si>
  <si>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</si>
  <si>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</si>
  <si>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</si>
  <si>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</si>
  <si>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</si>
  <si>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</si>
  <si>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</si>
  <si>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</si>
  <si>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</si>
  <si>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</si>
  <si>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</si>
  <si>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</si>
  <si>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</si>
  <si>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</si>
  <si>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</si>
  <si>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</si>
  <si>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</si>
  <si>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</si>
  <si>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</si>
  <si>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</si>
  <si>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</si>
  <si>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</si>
  <si>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</si>
  <si>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</si>
  <si>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</si>
  <si>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</si>
  <si>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</si>
  <si>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</si>
  <si>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</si>
  <si>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</si>
  <si>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</si>
  <si>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</si>
  <si>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</si>
  <si>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</si>
  <si>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</si>
  <si>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</si>
  <si>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</si>
  <si>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</si>
  <si>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</si>
  <si>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</si>
  <si>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</si>
  <si>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</si>
  <si>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</si>
  <si>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</si>
  <si>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</si>
  <si>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</si>
  <si>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</si>
  <si>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</si>
  <si>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</si>
  <si>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</si>
  <si>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</si>
  <si>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</si>
  <si>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</si>
  <si>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</si>
  <si>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</si>
  <si>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</si>
  <si>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</si>
  <si>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</si>
  <si>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</si>
  <si>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</si>
  <si>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</si>
  <si>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</si>
  <si>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</si>
  <si>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</si>
  <si>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</si>
  <si>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</si>
  <si>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</si>
  <si>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</si>
  <si>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</si>
  <si>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</si>
  <si>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</si>
  <si>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</si>
  <si>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</si>
  <si>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</si>
  <si>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</si>
  <si>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</si>
  <si>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</si>
  <si>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</si>
  <si>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</si>
  <si>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</si>
  <si>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</si>
  <si>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</si>
  <si>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</si>
  <si>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</si>
  <si>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</si>
  <si>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</si>
  <si>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</si>
  <si>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</si>
  <si>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</si>
  <si>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</si>
  <si>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</si>
  <si>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</si>
  <si>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</si>
  <si>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</si>
  <si>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</si>
  <si>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</si>
  <si>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</si>
  <si>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</si>
  <si>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</si>
  <si>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</si>
  <si>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</si>
  <si>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</si>
  <si>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</si>
  <si>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</si>
  <si>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</si>
  <si>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</si>
  <si>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</si>
  <si>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</si>
  <si>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</si>
  <si>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</si>
  <si>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</si>
  <si>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</si>
  <si>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</si>
  <si>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</si>
  <si>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</si>
  <si>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</si>
  <si>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</si>
  <si>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</si>
  <si>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</si>
  <si>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</si>
  <si>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</si>
  <si>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</si>
  <si>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</si>
  <si>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</si>
  <si>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</si>
  <si>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</si>
  <si>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</si>
  <si>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</si>
  <si>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</si>
  <si>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</si>
  <si>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</si>
  <si>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</si>
  <si>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</si>
  <si>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</si>
  <si>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</si>
  <si>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</si>
  <si>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</si>
  <si>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</si>
  <si>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</si>
  <si>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</si>
  <si>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</si>
  <si>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</si>
  <si>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</si>
  <si>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</si>
  <si>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</si>
  <si>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</si>
  <si>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</si>
  <si>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</si>
  <si>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</si>
  <si>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</si>
  <si>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</si>
  <si>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</si>
  <si>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</si>
  <si>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</si>
  <si>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</si>
  <si>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</si>
  <si>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</si>
  <si>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</si>
  <si>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</si>
  <si>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</si>
  <si>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</si>
  <si>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</si>
  <si>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</si>
  <si>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</si>
  <si>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</si>
  <si>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</si>
  <si>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</si>
  <si>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</si>
  <si>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</si>
  <si>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</si>
  <si>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</si>
  <si>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</si>
  <si>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</si>
  <si>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</si>
  <si>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</si>
  <si>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</si>
  <si>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</si>
  <si>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</si>
  <si>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</si>
  <si>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</si>
  <si>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</si>
  <si>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</si>
  <si>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</si>
  <si>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</si>
  <si>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</si>
  <si>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</si>
  <si>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</si>
  <si>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</si>
  <si>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</si>
  <si>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</si>
  <si>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</si>
  <si>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</si>
  <si>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</si>
  <si>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</si>
  <si>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</si>
  <si>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</si>
  <si>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</si>
  <si>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</si>
  <si>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</si>
  <si>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</si>
  <si>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</si>
  <si>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</si>
  <si>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</si>
  <si>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</si>
  <si>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</si>
  <si>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</si>
  <si>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</si>
  <si>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</si>
  <si>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</si>
  <si>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</si>
  <si>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</si>
  <si>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</si>
  <si>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</si>
  <si>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</si>
  <si>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</si>
  <si>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</si>
  <si>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</si>
  <si>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</si>
  <si>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</si>
  <si>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</si>
  <si>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</si>
  <si>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</si>
  <si>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</si>
  <si>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</si>
  <si>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</si>
  <si>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</si>
  <si>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</si>
  <si>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</si>
  <si>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</si>
  <si>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</si>
  <si>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</si>
  <si>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</si>
  <si>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</si>
  <si>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</si>
  <si>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</si>
  <si>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</si>
  <si>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</si>
  <si>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</si>
  <si>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</si>
  <si>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</si>
  <si>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</si>
  <si>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</si>
  <si>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</si>
  <si>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</si>
  <si>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</si>
  <si>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</si>
  <si>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</si>
  <si>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</si>
  <si>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</si>
  <si>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</si>
  <si>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</si>
  <si>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</si>
  <si>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</si>
  <si>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</si>
  <si>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</si>
  <si>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</si>
  <si>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</si>
  <si>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</si>
  <si>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</si>
  <si>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</si>
  <si>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</si>
  <si>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</si>
  <si>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</si>
  <si>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</si>
  <si>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</si>
  <si>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</si>
  <si>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</si>
  <si>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</si>
  <si>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</si>
  <si>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</si>
  <si>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</si>
  <si>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</si>
  <si>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</si>
  <si>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</si>
  <si>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</si>
  <si>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</si>
  <si>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</si>
  <si>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</si>
  <si>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</si>
  <si>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</si>
  <si>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</si>
  <si>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</si>
  <si>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</si>
  <si>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</si>
  <si>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</si>
  <si>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</si>
  <si>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</si>
  <si>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</si>
  <si>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</si>
  <si>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</si>
  <si>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</si>
  <si>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</si>
  <si>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</si>
  <si>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</si>
  <si>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</si>
  <si>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</si>
  <si>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</si>
  <si>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</si>
  <si>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</si>
  <si>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</si>
  <si>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</si>
  <si>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</si>
  <si>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</si>
  <si>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</si>
  <si>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</si>
  <si>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</si>
  <si>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</si>
  <si>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</si>
  <si>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</si>
  <si>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</si>
  <si>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</si>
  <si>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</si>
  <si>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</si>
  <si>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</si>
  <si>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</si>
  <si>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</si>
  <si>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</si>
  <si>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</si>
  <si>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</si>
  <si>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</si>
  <si>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</si>
  <si>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</si>
  <si>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</si>
  <si>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</si>
  <si>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</si>
  <si>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</si>
  <si>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</si>
  <si>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</si>
  <si>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</si>
  <si>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</si>
  <si>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</si>
  <si>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</si>
  <si>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</si>
  <si>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</si>
  <si>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</si>
  <si>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</si>
  <si>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</si>
  <si>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</si>
  <si>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</si>
  <si>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</si>
  <si>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</si>
  <si>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</si>
  <si>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</si>
  <si>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</si>
  <si>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</si>
  <si>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</si>
  <si>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</si>
  <si>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</si>
  <si>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</si>
  <si>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</si>
  <si>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</si>
  <si>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</si>
  <si>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</si>
  <si>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</si>
  <si>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</si>
  <si>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</si>
  <si>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</si>
  <si>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</si>
  <si>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</si>
  <si>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</si>
  <si>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</si>
  <si>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</si>
  <si>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</si>
  <si>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</si>
  <si>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</si>
  <si>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</si>
  <si>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</si>
  <si>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</si>
  <si>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</si>
  <si>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</si>
  <si>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</si>
  <si>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</si>
  <si>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</si>
  <si>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</si>
  <si>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</si>
  <si>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</si>
  <si>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</si>
  <si>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</si>
  <si>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</si>
  <si>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</si>
  <si>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</si>
  <si>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</si>
  <si>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</si>
  <si>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</si>
  <si>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</si>
  <si>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</si>
  <si>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</si>
  <si>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</si>
  <si>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</si>
  <si>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</si>
  <si>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</si>
  <si>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</si>
  <si>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</si>
  <si>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</si>
  <si>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</si>
  <si>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</si>
  <si>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</si>
  <si>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</si>
  <si>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Project</t>
  </si>
  <si>
    <t>Purpose</t>
  </si>
  <si>
    <t>Rows</t>
  </si>
  <si>
    <t>Date Range</t>
  </si>
  <si>
    <t>Sales Analysis Dashboard</t>
  </si>
  <si>
    <t>Practice dataset for Excel, SQL and Power BI</t>
  </si>
  <si>
    <t>2024-01-01 to 2025-12-30</t>
  </si>
  <si>
    <t>Sales Analysis</t>
  </si>
  <si>
    <t>Total Sales</t>
  </si>
  <si>
    <t>Total Profit</t>
  </si>
  <si>
    <t>Total Quantity</t>
  </si>
  <si>
    <t>Total Orders</t>
  </si>
  <si>
    <t>A</t>
  </si>
  <si>
    <t>B</t>
  </si>
  <si>
    <t>C</t>
  </si>
  <si>
    <t>Year</t>
  </si>
  <si>
    <t>Month</t>
  </si>
  <si>
    <t>January</t>
  </si>
  <si>
    <t>February</t>
  </si>
  <si>
    <t>March</t>
  </si>
  <si>
    <t>Row Labels</t>
  </si>
  <si>
    <t>(blank)</t>
  </si>
  <si>
    <t>Grand Total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</si>
  <si>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</si>
  <si>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</si>
  <si>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</si>
  <si>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</si>
  <si>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</si>
  <si>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</si>
  <si>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</si>
  <si>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</si>
  <si>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</si>
  <si>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Sales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</si>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</sst>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4">
    <dxf>
      <numFmt numFmtId="164" formatCode="&quot;₹&quot;\ #,##0.00"/>
    </dxf>
    <dxf>
      <numFmt numFmtId="14" formatCode="0.00%"/>
    </dxf>
    <dxf>
      <numFmt numFmtId="164" formatCode="&quot;₹&quot;\ #,##0.00"/>
    </dxf>
    <dxf>
      <numFmt numFmtId="165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pivotCacheDefinition" Target="pivotCache/pivotCacheDefinition1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&amp; Profit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Analysis!$A$11:$A$13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Analysis!$B$11:$B$13</c:f>
              <c:numCache>
                <c:formatCode>"₹"\ #,##0.00</c:formatCode>
                <c:ptCount val="3"/>
                <c:pt idx="0">
                  <c:v>53396510.400000021</c:v>
                </c:pt>
                <c:pt idx="1">
                  <c:v>15966525.300000001</c:v>
                </c:pt>
                <c:pt idx="2">
                  <c:v>2041184.0499999984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A-4BC9-99FF-A6B126A4390F}"/>
            </c:ext>
          </c:extLst>
        </c:ser>
        <c:ser>
          <c:idx val="1"/>
          <c:order val="1"/>
          <c:tx>
            <c:strRef>
              <c:f>Analysis!$C$10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Analysis!$A$11:$A$13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Analysis!$C$11:$C$13</c:f>
              <c:numCache>
                <c:formatCode>"₹"\ #,##0.00</c:formatCode>
                <c:ptCount val="3"/>
                <c:pt idx="0">
                  <c:v>8003115.7900000056</c:v>
                </c:pt>
                <c:pt idx="1">
                  <c:v>2380824.3899999983</c:v>
                </c:pt>
                <c:pt idx="2">
                  <c:v>331297.21000000008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A-4BC9-99FF-A6B126A43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053568"/>
        <c:axId val="2002172464"/>
      </c:barChart>
      <c:catAx>
        <c:axId val="6605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172464"/>
        <c:crosses val="autoZero"/>
        <c:auto val="1"/>
        <c:lblAlgn val="ctr"/>
        <c:lblOffset val="100"/>
        <c:noMultiLvlLbl val="0"/>
      </c:catAx>
      <c:valAx>
        <c:axId val="200217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5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&amp; Profit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Analysis!$A$19:$A$22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Analysis!$B$19:$B$22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21731759.849999975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4-4919-9B67-F299C4F7E71C}"/>
            </c:ext>
          </c:extLst>
        </c:ser>
        <c:ser>
          <c:idx val="1"/>
          <c:order val="1"/>
          <c:tx>
            <c:strRef>
              <c:f>Analysis!$C$18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Analysis!$A$19:$A$22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Analysis!$C$19:$C$22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2975602.8999999985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D4-4919-9B67-F299C4F7E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096608"/>
        <c:axId val="2002143184"/>
      </c:barChart>
      <c:catAx>
        <c:axId val="17509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143184"/>
        <c:crosses val="autoZero"/>
        <c:auto val="1"/>
        <c:lblAlgn val="ctr"/>
        <c:lblOffset val="100"/>
        <c:noMultiLvlLbl val="0"/>
      </c:catAx>
      <c:valAx>
        <c:axId val="200214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9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[Sales_Analysis_Dataset1.xlsx]Monthly analysis!PivotTable2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analysis'!$A$4:$A$31</c:f>
              <c:multiLvlStrCache>
                <c:ptCount val="25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(blank)</c:v>
                  </c:pt>
                </c:lvl>
              </c:multiLvlStrCache>
            </c:multiLvlStrRef>
          </c:cat>
          <c:val>
            <c:numRef>
              <c:f>'Monthly analysis'!$B$4:$B$31</c:f>
              <c:numCache>
                <c:formatCode>General</c:formatCode>
                <c:ptCount val="25"/>
                <c:pt idx="0">
                  <c:v>3667694.9499999997</c:v>
                </c:pt>
                <c:pt idx="1">
                  <c:v>2510187.65</c:v>
                </c:pt>
                <c:pt idx="2">
                  <c:v>2419223.0499999998</c:v>
                </c:pt>
                <c:pt idx="3">
                  <c:v>2759890.1999999993</c:v>
                </c:pt>
                <c:pt idx="4">
                  <c:v>1864093.65</c:v>
                </c:pt>
                <c:pt idx="5">
                  <c:v>2465048.0999999996</c:v>
                </c:pt>
                <c:pt idx="6">
                  <c:v>2479254.9499999997</c:v>
                </c:pt>
                <c:pt idx="7">
                  <c:v>4040262.0999999996</c:v>
                </c:pt>
                <c:pt idx="8">
                  <c:v>2438921.1999999997</c:v>
                </c:pt>
                <c:pt idx="9">
                  <c:v>4240651.200000002</c:v>
                </c:pt>
                <c:pt idx="10">
                  <c:v>4404915.2500000009</c:v>
                </c:pt>
                <c:pt idx="11">
                  <c:v>3007209.1500000008</c:v>
                </c:pt>
                <c:pt idx="12">
                  <c:v>3793248.1500000013</c:v>
                </c:pt>
                <c:pt idx="13">
                  <c:v>2123255.7999999998</c:v>
                </c:pt>
                <c:pt idx="14">
                  <c:v>3224146.4999999995</c:v>
                </c:pt>
                <c:pt idx="15">
                  <c:v>3188682.2</c:v>
                </c:pt>
                <c:pt idx="16">
                  <c:v>3300832.4</c:v>
                </c:pt>
                <c:pt idx="17">
                  <c:v>2138918.1999999997</c:v>
                </c:pt>
                <c:pt idx="18">
                  <c:v>2420404.7499999995</c:v>
                </c:pt>
                <c:pt idx="19">
                  <c:v>2542678.35</c:v>
                </c:pt>
                <c:pt idx="20">
                  <c:v>2948330.5999999996</c:v>
                </c:pt>
                <c:pt idx="21">
                  <c:v>3434906.3</c:v>
                </c:pt>
                <c:pt idx="22">
                  <c:v>2380817.1500000004</c:v>
                </c:pt>
                <c:pt idx="23">
                  <c:v>3610647.9000000008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6F-40E0-828E-DB0504949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086864"/>
        <c:axId val="2002053424"/>
      </c:lineChart>
      <c:catAx>
        <c:axId val="17508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053424"/>
        <c:crosses val="autoZero"/>
        <c:auto val="1"/>
        <c:lblAlgn val="ctr"/>
        <c:lblOffset val="100"/>
        <c:noMultiLvlLbl val="0"/>
      </c:catAx>
      <c:valAx>
        <c:axId val="200205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8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[Sales_Analysis_Dataset1.xlsx]Top 10 Product by Sales!PivotTable7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Sales</a:t>
            </a:r>
            <a:endParaRPr lang="en-IN"/>
          </a:p>
        </c:rich>
      </c:tx>
      <c:layout>
        <c:manualLayout>
          <c:xMode val="edge"/>
          <c:yMode val="edge"/>
          <c:x val="0.31125699912510929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 by Sales'!$A$4:$A$14</c:f>
              <c:strCache>
                <c:ptCount val="10"/>
                <c:pt idx="0">
                  <c:v>Basic Keyboards</c:v>
                </c:pt>
                <c:pt idx="1">
                  <c:v>Basic Printers</c:v>
                </c:pt>
                <c:pt idx="2">
                  <c:v>Basic Smartphones</c:v>
                </c:pt>
                <c:pt idx="3">
                  <c:v>Premium Monitors</c:v>
                </c:pt>
                <c:pt idx="4">
                  <c:v>Premium Printers</c:v>
                </c:pt>
                <c:pt idx="5">
                  <c:v>Premium Smartphones</c:v>
                </c:pt>
                <c:pt idx="6">
                  <c:v>Standard Keyboards</c:v>
                </c:pt>
                <c:pt idx="7">
                  <c:v>Standard Laptops</c:v>
                </c:pt>
                <c:pt idx="8">
                  <c:v>Standard Monitors</c:v>
                </c:pt>
                <c:pt idx="9">
                  <c:v>Standard Smartphones</c:v>
                </c:pt>
              </c:strCache>
            </c:strRef>
          </c:cat>
          <c:val>
            <c:numRef>
              <c:f>'Top 10 Product by Sales'!$B$4:$B$14</c:f>
              <c:numCache>
                <c:formatCode>General</c:formatCode>
                <c:ptCount val="10"/>
                <c:pt idx="0">
                  <c:v>3852843.3500000006</c:v>
                </c:pt>
                <c:pt idx="1">
                  <c:v>3818214.0000000005</c:v>
                </c:pt>
                <c:pt idx="2">
                  <c:v>5379568.5499999989</c:v>
                </c:pt>
                <c:pt idx="3">
                  <c:v>3605706.75</c:v>
                </c:pt>
                <c:pt idx="4">
                  <c:v>4396670.4000000004</c:v>
                </c:pt>
                <c:pt idx="5">
                  <c:v>3644340.6999999997</c:v>
                </c:pt>
                <c:pt idx="6">
                  <c:v>3949347.45</c:v>
                </c:pt>
                <c:pt idx="7">
                  <c:v>3943893.7500000005</c:v>
                </c:pt>
                <c:pt idx="8">
                  <c:v>3362555.45</c:v>
                </c:pt>
                <c:pt idx="9">
                  <c:v>3425700.9000000004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7-4914-B0D5-483DD3A43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614272"/>
        <c:axId val="1657024464"/>
      </c:barChart>
      <c:catAx>
        <c:axId val="17061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024464"/>
        <c:crosses val="autoZero"/>
        <c:auto val="1"/>
        <c:lblAlgn val="ctr"/>
        <c:lblOffset val="100"/>
        <c:noMultiLvlLbl val="0"/>
      </c:catAx>
      <c:valAx>
        <c:axId val="165702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1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87630</xdr:rowOff>
    </xdr:from>
    <xdr:to>
      <xdr:col>11</xdr:col>
      <xdr:colOff>320040</xdr:colOff>
      <xdr:row>14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16969-75EF-B13A-607C-81EDEEF04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</xdr:colOff>
      <xdr:row>14</xdr:row>
      <xdr:rowOff>163830</xdr:rowOff>
    </xdr:from>
    <xdr:to>
      <xdr:col>11</xdr:col>
      <xdr:colOff>320040</xdr:colOff>
      <xdr:row>29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02D02B-FB6B-0A49-5EDC-D4E748EAF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3</xdr:row>
      <xdr:rowOff>167640</xdr:rowOff>
    </xdr:from>
    <xdr:to>
      <xdr:col>10</xdr:col>
      <xdr:colOff>281940</xdr:colOff>
      <xdr:row>24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819838-281A-0A16-11F9-99BA513CB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0</xdr:row>
      <xdr:rowOff>148590</xdr:rowOff>
    </xdr:from>
    <xdr:to>
      <xdr:col>10</xdr:col>
      <xdr:colOff>15240</xdr:colOff>
      <xdr:row>15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E52E8F-3BB0-E830-04CB-C496969E2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1.860612962962" createdVersion="8" refreshedVersion="8" minRefreshableVersion="3" recordCount="1204" xr:uid="{8BE5648D-8C51-4B04-B41E-E42D349591AD}">
  <cacheSource type="worksheet">
    <worksheetSource ref="A1:O1048576" sheet="Sales_Data"/>
  </cacheSource>
  <cacheFields count="15">
    <cacheField name="Order_ID" numFmtId="0">
      <sharedItems containsBlank="1"/>
    </cacheField>
    <cacheField name="Order_Date" numFmtId="14">
      <sharedItems containsNonDate="0" containsDate="1" containsString="0" containsBlank="1" minDate="2024-01-01T00:00:00" maxDate="2025-12-31T00:00:00"/>
    </cacheField>
    <cacheField name="Customer_Name" numFmtId="0">
      <sharedItems containsBlank="1"/>
    </cacheField>
    <cacheField name="Category" numFmtId="0">
      <sharedItems containsBlank="1"/>
    </cacheField>
    <cacheField name="Sub_Category" numFmtId="0">
      <sharedItems containsBlank="1"/>
    </cacheField>
    <cacheField name="Product_Name" numFmtId="0">
      <sharedItems containsBlank="1" count="46">
        <s v="Premium Paper"/>
        <s v="Basic Smartphones"/>
        <s v="Premium Desks"/>
        <s v="Basic Keyboards"/>
        <s v="Standard Binders"/>
        <s v="Premium Chairs"/>
        <s v="Standard Storage Boxes"/>
        <s v="Standard Staplers"/>
        <s v="Standard Pens"/>
        <s v="Basic Cabinets"/>
        <s v="Premium Smartphones"/>
        <s v="Standard Monitors"/>
        <s v="Standard Laptops"/>
        <s v="Standard Smartphones"/>
        <s v="Premium Storage Boxes"/>
        <s v="Standard Keyboards"/>
        <s v="Basic Monitors"/>
        <s v="Standard Desks"/>
        <s v="Basic Storage Boxes"/>
        <s v="Premium Bookcases"/>
        <s v="Premium Monitors"/>
        <s v="Premium Staplers"/>
        <s v="Basic Binders"/>
        <s v="Basic Chairs"/>
        <s v="Basic Tables"/>
        <s v="Standard Chairs"/>
        <s v="Premium Tables"/>
        <s v="Standard Bookcases"/>
        <s v="Premium Keyboards"/>
        <s v="Basic Staplers"/>
        <s v="Premium Pens"/>
        <s v="Standard Tables"/>
        <s v="Basic Bookcases"/>
        <s v="Basic Printers"/>
        <s v="Premium Binders"/>
        <s v="Premium Printers"/>
        <s v="Basic Desks"/>
        <s v="Standard Paper"/>
        <s v="Standard Cabinets"/>
        <s v="Standard Printers"/>
        <s v="Premium Cabinets"/>
        <s v="Basic Pens"/>
        <s v="Basic Paper"/>
        <s v="Basic Laptops"/>
        <s v="Premium Laptops"/>
        <m/>
      </sharedItems>
    </cacheField>
    <cacheField name="Region" numFmtId="0">
      <sharedItems containsBlank="1"/>
    </cacheField>
    <cacheField name="State" numFmtId="0">
      <sharedItems containsBlank="1"/>
    </cacheField>
    <cacheField name="Sales" numFmtId="164">
      <sharedItems containsString="0" containsBlank="1" containsNumber="1" minValue="193.6" maxValue="465062.40000000002"/>
    </cacheField>
    <cacheField name="Quantity" numFmtId="0">
      <sharedItems containsString="0" containsBlank="1" containsNumber="1" containsInteger="1" minValue="1" maxValue="8"/>
    </cacheField>
    <cacheField name="Discount" numFmtId="10">
      <sharedItems containsString="0" containsBlank="1" containsNumber="1" minValue="0" maxValue="0.2"/>
    </cacheField>
    <cacheField name="Profit" numFmtId="164">
      <sharedItems containsString="0" containsBlank="1" containsNumber="1" minValue="14.53" maxValue="102339.98"/>
    </cacheField>
    <cacheField name="Payment_Mode" numFmtId="0">
      <sharedItems containsBlank="1"/>
    </cacheField>
    <cacheField name="Year" numFmtId="0">
      <sharedItems containsString="0" containsBlank="1" containsNumber="1" containsInteger="1" minValue="2024" maxValue="2025" count="3">
        <n v="2024"/>
        <n v="2025"/>
        <m/>
      </sharedItems>
    </cacheField>
    <cacheField name="Month" numFmtId="0">
      <sharedItems containsBlank="1" count="13">
        <s v="February"/>
        <s v="June"/>
        <s v="October"/>
        <s v="December"/>
        <s v="July"/>
        <s v="April"/>
        <s v="January"/>
        <s v="May"/>
        <s v="March"/>
        <s v="August"/>
        <s v="September"/>
        <s v="Novemb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4">
  <r>
    <s v="ORD10001"/>
    <d v="2024-02-02T00:00:00"/>
    <s v="Aarav Sharma"/>
    <s v="Office Supplies"/>
    <s v="Paper"/>
    <x v="0"/>
    <s v="North"/>
    <s v="Haryana"/>
    <n v="9332"/>
    <n v="4"/>
    <n v="0"/>
    <n v="1848.66"/>
    <s v="UPI"/>
    <x v="0"/>
    <x v="0"/>
  </r>
  <r>
    <s v="ORD10002"/>
    <d v="2024-06-12T00:00:00"/>
    <s v="Rohan Khan"/>
    <s v="Technology"/>
    <s v="Smartphones"/>
    <x v="1"/>
    <s v="North"/>
    <s v="Punjab"/>
    <n v="109522"/>
    <n v="7"/>
    <n v="0"/>
    <n v="25382.98"/>
    <s v="Debit Card"/>
    <x v="0"/>
    <x v="1"/>
  </r>
  <r>
    <s v="ORD10003"/>
    <d v="2024-02-14T00:00:00"/>
    <s v="Neha Yadav"/>
    <s v="Furniture"/>
    <s v="Desks"/>
    <x v="2"/>
    <s v="South"/>
    <s v="Telangana"/>
    <n v="7144.2"/>
    <n v="2"/>
    <n v="0.1"/>
    <n v="1255.56"/>
    <s v="Net Banking"/>
    <x v="0"/>
    <x v="0"/>
  </r>
  <r>
    <s v="ORD10004"/>
    <d v="2024-10-23T00:00:00"/>
    <s v="Priya Singh"/>
    <s v="Technology"/>
    <s v="Keyboards"/>
    <x v="3"/>
    <s v="North"/>
    <s v="Haryana"/>
    <n v="234222"/>
    <n v="6"/>
    <n v="0"/>
    <n v="49714.239999999998"/>
    <s v="Credit Card"/>
    <x v="0"/>
    <x v="2"/>
  </r>
  <r>
    <s v="ORD10005"/>
    <d v="2025-12-19T00:00:00"/>
    <s v="Priya Singh"/>
    <s v="Technology"/>
    <s v="Keyboards"/>
    <x v="3"/>
    <s v="East"/>
    <s v="Jharkhand"/>
    <n v="67596.3"/>
    <n v="6"/>
    <n v="0.05"/>
    <n v="13623.02"/>
    <s v="Net Banking"/>
    <x v="1"/>
    <x v="3"/>
  </r>
  <r>
    <s v="ORD10006"/>
    <d v="2024-02-02T00:00:00"/>
    <s v="Sneha Joshi"/>
    <s v="Office Supplies"/>
    <s v="Binders"/>
    <x v="4"/>
    <s v="South"/>
    <s v="Tamil Nadu"/>
    <n v="9996"/>
    <n v="7"/>
    <n v="0"/>
    <n v="1257.5899999999999"/>
    <s v="Cash"/>
    <x v="0"/>
    <x v="0"/>
  </r>
  <r>
    <s v="ORD10007"/>
    <d v="2025-07-28T00:00:00"/>
    <s v="Aditya Mehta"/>
    <s v="Furniture"/>
    <s v="Chairs"/>
    <x v="5"/>
    <s v="South"/>
    <s v="Telangana"/>
    <n v="114012"/>
    <n v="8"/>
    <n v="0.1"/>
    <n v="9454.57"/>
    <s v="Debit Card"/>
    <x v="1"/>
    <x v="4"/>
  </r>
  <r>
    <s v="ORD10008"/>
    <d v="2024-04-22T00:00:00"/>
    <s v="Rahul Verma"/>
    <s v="Office Supplies"/>
    <s v="Storage Boxes"/>
    <x v="6"/>
    <s v="West"/>
    <s v="Goa"/>
    <n v="8484"/>
    <n v="4"/>
    <n v="0"/>
    <n v="1961.13"/>
    <s v="Credit Card"/>
    <x v="0"/>
    <x v="5"/>
  </r>
  <r>
    <s v="ORD10009"/>
    <d v="2024-04-27T00:00:00"/>
    <s v="Aditya Mehta"/>
    <s v="Office Supplies"/>
    <s v="Staplers"/>
    <x v="7"/>
    <s v="North"/>
    <s v="Uttar Pradesh"/>
    <n v="18928"/>
    <n v="8"/>
    <n v="0"/>
    <n v="4089.52"/>
    <s v="Debit Card"/>
    <x v="0"/>
    <x v="5"/>
  </r>
  <r>
    <s v="ORD10010"/>
    <d v="2025-06-03T00:00:00"/>
    <s v="Priya Singh"/>
    <s v="Office Supplies"/>
    <s v="Pens"/>
    <x v="8"/>
    <s v="North"/>
    <s v="Haryana"/>
    <n v="2827.2"/>
    <n v="3"/>
    <n v="0.2"/>
    <n v="515.66"/>
    <s v="Debit Card"/>
    <x v="1"/>
    <x v="1"/>
  </r>
  <r>
    <s v="ORD10011"/>
    <d v="2025-01-06T00:00:00"/>
    <s v="Vikram Patel"/>
    <s v="Office Supplies"/>
    <s v="Storage Boxes"/>
    <x v="6"/>
    <s v="South"/>
    <s v="Tamil Nadu"/>
    <n v="3638.85"/>
    <n v="3"/>
    <n v="0.15"/>
    <n v="168.83"/>
    <s v="Credit Card"/>
    <x v="1"/>
    <x v="6"/>
  </r>
  <r>
    <s v="ORD10012"/>
    <d v="2025-05-01T00:00:00"/>
    <s v="Aditya Mehta"/>
    <s v="Technology"/>
    <s v="Smartphones"/>
    <x v="1"/>
    <s v="North"/>
    <s v="Delhi"/>
    <n v="415552.8"/>
    <n v="8"/>
    <n v="0.05"/>
    <n v="38720.5"/>
    <s v="Credit Card"/>
    <x v="1"/>
    <x v="7"/>
  </r>
  <r>
    <s v="ORD10013"/>
    <d v="2025-06-13T00:00:00"/>
    <s v="Neha Yadav"/>
    <s v="Furniture"/>
    <s v="Cabinets"/>
    <x v="9"/>
    <s v="West"/>
    <s v="Gujarat"/>
    <n v="39650.400000000001"/>
    <n v="4"/>
    <n v="0.1"/>
    <n v="5654.94"/>
    <s v="UPI"/>
    <x v="1"/>
    <x v="1"/>
  </r>
  <r>
    <s v="ORD10014"/>
    <d v="2024-03-01T00:00:00"/>
    <s v="Ananya Gupta"/>
    <s v="Technology"/>
    <s v="Smartphones"/>
    <x v="10"/>
    <s v="North"/>
    <s v="Haryana"/>
    <n v="159056"/>
    <n v="4"/>
    <n v="0"/>
    <n v="35241.75"/>
    <s v="UPI"/>
    <x v="0"/>
    <x v="8"/>
  </r>
  <r>
    <s v="ORD10015"/>
    <d v="2025-04-29T00:00:00"/>
    <s v="Rohan Khan"/>
    <s v="Technology"/>
    <s v="Monitors"/>
    <x v="11"/>
    <s v="North"/>
    <s v="Punjab"/>
    <n v="97536"/>
    <n v="8"/>
    <n v="0.2"/>
    <n v="12146.57"/>
    <s v="Credit Card"/>
    <x v="1"/>
    <x v="5"/>
  </r>
  <r>
    <s v="ORD10016"/>
    <d v="2024-12-13T00:00:00"/>
    <s v="Priya Singh"/>
    <s v="Technology"/>
    <s v="Laptops"/>
    <x v="12"/>
    <s v="West"/>
    <s v="Rajasthan"/>
    <n v="222642"/>
    <n v="7"/>
    <n v="0"/>
    <n v="35739.440000000002"/>
    <s v="Credit Card"/>
    <x v="0"/>
    <x v="3"/>
  </r>
  <r>
    <s v="ORD10017"/>
    <d v="2025-07-17T00:00:00"/>
    <s v="Priya Singh"/>
    <s v="Technology"/>
    <s v="Smartphones"/>
    <x v="13"/>
    <s v="West"/>
    <s v="Gujarat"/>
    <n v="58362"/>
    <n v="3"/>
    <n v="0"/>
    <n v="9841.36"/>
    <s v="UPI"/>
    <x v="1"/>
    <x v="4"/>
  </r>
  <r>
    <s v="ORD10018"/>
    <d v="2024-03-01T00:00:00"/>
    <s v="Rahul Verma"/>
    <s v="Office Supplies"/>
    <s v="Storage Boxes"/>
    <x v="14"/>
    <s v="North"/>
    <s v="Delhi"/>
    <n v="5902.35"/>
    <n v="3"/>
    <n v="0.05"/>
    <n v="1419.1"/>
    <s v="Cash"/>
    <x v="0"/>
    <x v="8"/>
  </r>
  <r>
    <s v="ORD10019"/>
    <d v="2024-02-29T00:00:00"/>
    <s v="Pooja Mishra"/>
    <s v="Technology"/>
    <s v="Keyboards"/>
    <x v="15"/>
    <s v="East"/>
    <s v="Jharkhand"/>
    <n v="311559.15000000002"/>
    <n v="7"/>
    <n v="0.05"/>
    <n v="39518.65"/>
    <s v="Net Banking"/>
    <x v="0"/>
    <x v="0"/>
  </r>
  <r>
    <s v="ORD10020"/>
    <d v="2024-07-09T00:00:00"/>
    <s v="Priya Singh"/>
    <s v="Technology"/>
    <s v="Monitors"/>
    <x v="16"/>
    <s v="North"/>
    <s v="Delhi"/>
    <n v="218585.60000000001"/>
    <n v="8"/>
    <n v="0.2"/>
    <n v="10059.81"/>
    <s v="Net Banking"/>
    <x v="0"/>
    <x v="4"/>
  </r>
  <r>
    <s v="ORD10021"/>
    <d v="2025-08-01T00:00:00"/>
    <s v="Aditya Mehta"/>
    <s v="Technology"/>
    <s v="Smartphones"/>
    <x v="1"/>
    <s v="West"/>
    <s v="Maharashtra"/>
    <n v="133076"/>
    <n v="4"/>
    <n v="0.15"/>
    <n v="23151.85"/>
    <s v="Debit Card"/>
    <x v="1"/>
    <x v="9"/>
  </r>
  <r>
    <s v="ORD10022"/>
    <d v="2024-03-15T00:00:00"/>
    <s v="Aarav Sharma"/>
    <s v="Furniture"/>
    <s v="Desks"/>
    <x v="17"/>
    <s v="East"/>
    <s v="Odisha"/>
    <n v="66969"/>
    <n v="7"/>
    <n v="0.1"/>
    <n v="16126.38"/>
    <s v="Cash"/>
    <x v="0"/>
    <x v="8"/>
  </r>
  <r>
    <s v="ORD10023"/>
    <d v="2024-09-07T00:00:00"/>
    <s v="Sneha Joshi"/>
    <s v="Office Supplies"/>
    <s v="Storage Boxes"/>
    <x v="18"/>
    <s v="North"/>
    <s v="Delhi"/>
    <n v="2311.1999999999998"/>
    <n v="4"/>
    <n v="0.1"/>
    <n v="534.29"/>
    <s v="Debit Card"/>
    <x v="0"/>
    <x v="10"/>
  </r>
  <r>
    <s v="ORD10024"/>
    <d v="2024-04-19T00:00:00"/>
    <s v="Aditya Mehta"/>
    <s v="Technology"/>
    <s v="Keyboards"/>
    <x v="3"/>
    <s v="East"/>
    <s v="West Bengal"/>
    <n v="280183.5"/>
    <n v="5"/>
    <n v="0.1"/>
    <n v="21878.33"/>
    <s v="Credit Card"/>
    <x v="0"/>
    <x v="5"/>
  </r>
  <r>
    <s v="ORD10025"/>
    <d v="2025-03-09T00:00:00"/>
    <s v="Vikram Patel"/>
    <s v="Furniture"/>
    <s v="Bookcases"/>
    <x v="19"/>
    <s v="South"/>
    <s v="Telangana"/>
    <n v="84040"/>
    <n v="5"/>
    <n v="0"/>
    <n v="8274.5499999999993"/>
    <s v="UPI"/>
    <x v="1"/>
    <x v="8"/>
  </r>
  <r>
    <s v="ORD10026"/>
    <d v="2025-12-08T00:00:00"/>
    <s v="Rahul Verma"/>
    <s v="Technology"/>
    <s v="Monitors"/>
    <x v="20"/>
    <s v="South"/>
    <s v="Telangana"/>
    <n v="298832"/>
    <n v="8"/>
    <n v="0"/>
    <n v="30592.86"/>
    <s v="Net Banking"/>
    <x v="1"/>
    <x v="3"/>
  </r>
  <r>
    <s v="ORD10027"/>
    <d v="2024-09-12T00:00:00"/>
    <s v="Priya Singh"/>
    <s v="Technology"/>
    <s v="Monitors"/>
    <x v="20"/>
    <s v="South"/>
    <s v="Kerala"/>
    <n v="19261.8"/>
    <n v="1"/>
    <n v="0.1"/>
    <n v="1868.69"/>
    <s v="Debit Card"/>
    <x v="0"/>
    <x v="10"/>
  </r>
  <r>
    <s v="ORD10028"/>
    <d v="2024-12-06T00:00:00"/>
    <s v="Rohan Khan"/>
    <s v="Office Supplies"/>
    <s v="Staplers"/>
    <x v="21"/>
    <s v="South"/>
    <s v="Tamil Nadu"/>
    <n v="572.85"/>
    <n v="3"/>
    <n v="0.05"/>
    <n v="123.06"/>
    <s v="Credit Card"/>
    <x v="0"/>
    <x v="3"/>
  </r>
  <r>
    <s v="ORD10029"/>
    <d v="2024-08-21T00:00:00"/>
    <s v="Ananya Gupta"/>
    <s v="Furniture"/>
    <s v="Desks"/>
    <x v="2"/>
    <s v="North"/>
    <s v="Uttar Pradesh"/>
    <n v="52840.800000000003"/>
    <n v="8"/>
    <n v="0.1"/>
    <n v="6131.55"/>
    <s v="UPI"/>
    <x v="0"/>
    <x v="9"/>
  </r>
  <r>
    <s v="ORD10030"/>
    <d v="2025-07-03T00:00:00"/>
    <s v="Sneha Joshi"/>
    <s v="Office Supplies"/>
    <s v="Binders"/>
    <x v="4"/>
    <s v="West"/>
    <s v="Rajasthan"/>
    <n v="2460.8000000000002"/>
    <n v="2"/>
    <n v="0.2"/>
    <n v="270.52999999999997"/>
    <s v="UPI"/>
    <x v="1"/>
    <x v="4"/>
  </r>
  <r>
    <s v="ORD10031"/>
    <d v="2025-06-07T00:00:00"/>
    <s v="Priya Singh"/>
    <s v="Technology"/>
    <s v="Monitors"/>
    <x v="20"/>
    <s v="South"/>
    <s v="Telangana"/>
    <n v="72532.800000000003"/>
    <n v="2"/>
    <n v="0.1"/>
    <n v="10319.879999999999"/>
    <s v="Cash"/>
    <x v="1"/>
    <x v="1"/>
  </r>
  <r>
    <s v="ORD10032"/>
    <d v="2024-03-12T00:00:00"/>
    <s v="Sneha Joshi"/>
    <s v="Office Supplies"/>
    <s v="Binders"/>
    <x v="22"/>
    <s v="East"/>
    <s v="West Bengal"/>
    <n v="15328.25"/>
    <n v="7"/>
    <n v="0.05"/>
    <n v="2151.23"/>
    <s v="Net Banking"/>
    <x v="0"/>
    <x v="8"/>
  </r>
  <r>
    <s v="ORD10033"/>
    <d v="2025-03-06T00:00:00"/>
    <s v="Rohan Khan"/>
    <s v="Furniture"/>
    <s v="Chairs"/>
    <x v="23"/>
    <s v="East"/>
    <s v="Bihar"/>
    <n v="78316"/>
    <n v="7"/>
    <n v="0.2"/>
    <n v="4343.21"/>
    <s v="Credit Card"/>
    <x v="1"/>
    <x v="8"/>
  </r>
  <r>
    <s v="ORD10034"/>
    <d v="2025-09-13T00:00:00"/>
    <s v="Sneha Joshi"/>
    <s v="Office Supplies"/>
    <s v="Storage Boxes"/>
    <x v="18"/>
    <s v="East"/>
    <s v="Jharkhand"/>
    <n v="816"/>
    <n v="1"/>
    <n v="0.15"/>
    <n v="162.91999999999999"/>
    <s v="Cash"/>
    <x v="1"/>
    <x v="10"/>
  </r>
  <r>
    <s v="ORD10035"/>
    <d v="2025-09-26T00:00:00"/>
    <s v="Sneha Joshi"/>
    <s v="Furniture"/>
    <s v="Tables"/>
    <x v="24"/>
    <s v="South"/>
    <s v="Kerala"/>
    <n v="8587.2000000000007"/>
    <n v="3"/>
    <n v="0.2"/>
    <n v="1397.75"/>
    <s v="UPI"/>
    <x v="1"/>
    <x v="10"/>
  </r>
  <r>
    <s v="ORD10036"/>
    <d v="2024-03-15T00:00:00"/>
    <s v="Neha Yadav"/>
    <s v="Technology"/>
    <s v="Monitors"/>
    <x v="20"/>
    <s v="South"/>
    <s v="Tamil Nadu"/>
    <n v="3382.4"/>
    <n v="1"/>
    <n v="0.2"/>
    <n v="676.3"/>
    <s v="Cash"/>
    <x v="0"/>
    <x v="8"/>
  </r>
  <r>
    <s v="ORD10037"/>
    <d v="2024-08-12T00:00:00"/>
    <s v="Rahul Verma"/>
    <s v="Office Supplies"/>
    <s v="Storage Boxes"/>
    <x v="6"/>
    <s v="South"/>
    <s v="Kerala"/>
    <n v="854"/>
    <n v="7"/>
    <n v="0"/>
    <n v="201.27"/>
    <s v="Net Banking"/>
    <x v="0"/>
    <x v="9"/>
  </r>
  <r>
    <s v="ORD10038"/>
    <d v="2025-03-29T00:00:00"/>
    <s v="Pooja Mishra"/>
    <s v="Furniture"/>
    <s v="Chairs"/>
    <x v="25"/>
    <s v="South"/>
    <s v="Karnataka"/>
    <n v="38460"/>
    <n v="3"/>
    <n v="0.2"/>
    <n v="5734.02"/>
    <s v="Net Banking"/>
    <x v="1"/>
    <x v="8"/>
  </r>
  <r>
    <s v="ORD10039"/>
    <d v="2025-06-17T00:00:00"/>
    <s v="Neha Yadav"/>
    <s v="Furniture"/>
    <s v="Cabinets"/>
    <x v="9"/>
    <s v="West"/>
    <s v="Gujarat"/>
    <n v="66909.600000000006"/>
    <n v="8"/>
    <n v="0.1"/>
    <n v="13928.09"/>
    <s v="Credit Card"/>
    <x v="1"/>
    <x v="1"/>
  </r>
  <r>
    <s v="ORD10040"/>
    <d v="2024-08-24T00:00:00"/>
    <s v="Rohan Khan"/>
    <s v="Furniture"/>
    <s v="Tables"/>
    <x v="26"/>
    <s v="North"/>
    <s v="Haryana"/>
    <n v="56380"/>
    <n v="5"/>
    <n v="0"/>
    <n v="6070.71"/>
    <s v="Credit Card"/>
    <x v="0"/>
    <x v="9"/>
  </r>
  <r>
    <s v="ORD10041"/>
    <d v="2025-03-06T00:00:00"/>
    <s v="Rohan Khan"/>
    <s v="Office Supplies"/>
    <s v="Binders"/>
    <x v="4"/>
    <s v="North"/>
    <s v="Uttar Pradesh"/>
    <n v="10818"/>
    <n v="6"/>
    <n v="0"/>
    <n v="1312.95"/>
    <s v="Net Banking"/>
    <x v="1"/>
    <x v="8"/>
  </r>
  <r>
    <s v="ORD10042"/>
    <d v="2025-07-13T00:00:00"/>
    <s v="Pooja Mishra"/>
    <s v="Office Supplies"/>
    <s v="Paper"/>
    <x v="0"/>
    <s v="West"/>
    <s v="Goa"/>
    <n v="8716.7999999999993"/>
    <n v="6"/>
    <n v="0.2"/>
    <n v="1564.69"/>
    <s v="Credit Card"/>
    <x v="1"/>
    <x v="4"/>
  </r>
  <r>
    <s v="ORD10043"/>
    <d v="2024-05-10T00:00:00"/>
    <s v="Pooja Mishra"/>
    <s v="Furniture"/>
    <s v="Desks"/>
    <x v="17"/>
    <s v="East"/>
    <s v="Jharkhand"/>
    <n v="11223.3"/>
    <n v="1"/>
    <n v="0.05"/>
    <n v="2644.22"/>
    <s v="Net Banking"/>
    <x v="0"/>
    <x v="7"/>
  </r>
  <r>
    <s v="ORD10044"/>
    <d v="2024-12-01T00:00:00"/>
    <s v="Ananya Gupta"/>
    <s v="Technology"/>
    <s v="Keyboards"/>
    <x v="3"/>
    <s v="North"/>
    <s v="Delhi"/>
    <n v="70651"/>
    <n v="7"/>
    <n v="0"/>
    <n v="9328.14"/>
    <s v="Cash"/>
    <x v="0"/>
    <x v="3"/>
  </r>
  <r>
    <s v="ORD10045"/>
    <d v="2024-02-23T00:00:00"/>
    <s v="Sneha Joshi"/>
    <s v="Furniture"/>
    <s v="Bookcases"/>
    <x v="27"/>
    <s v="West"/>
    <s v="Rajasthan"/>
    <n v="17415"/>
    <n v="5"/>
    <n v="0"/>
    <n v="4002.05"/>
    <s v="Credit Card"/>
    <x v="0"/>
    <x v="0"/>
  </r>
  <r>
    <s v="ORD10046"/>
    <d v="2025-11-16T00:00:00"/>
    <s v="Priya Singh"/>
    <s v="Office Supplies"/>
    <s v="Paper"/>
    <x v="0"/>
    <s v="North"/>
    <s v="Delhi"/>
    <n v="2751.2"/>
    <n v="4"/>
    <n v="0.05"/>
    <n v="255.16"/>
    <s v="Net Banking"/>
    <x v="1"/>
    <x v="11"/>
  </r>
  <r>
    <s v="ORD10047"/>
    <d v="2024-11-15T00:00:00"/>
    <s v="Pooja Mishra"/>
    <s v="Technology"/>
    <s v="Keyboards"/>
    <x v="28"/>
    <s v="East"/>
    <s v="Bihar"/>
    <n v="104346"/>
    <n v="2"/>
    <n v="0"/>
    <n v="20424.37"/>
    <s v="Cash"/>
    <x v="0"/>
    <x v="11"/>
  </r>
  <r>
    <s v="ORD10048"/>
    <d v="2025-03-14T00:00:00"/>
    <s v="Sneha Joshi"/>
    <s v="Furniture"/>
    <s v="Desks"/>
    <x v="2"/>
    <s v="North"/>
    <s v="Punjab"/>
    <n v="23830"/>
    <n v="5"/>
    <n v="0"/>
    <n v="3561.17"/>
    <s v="UPI"/>
    <x v="1"/>
    <x v="8"/>
  </r>
  <r>
    <s v="ORD10049"/>
    <d v="2025-06-18T00:00:00"/>
    <s v="Vikram Patel"/>
    <s v="Office Supplies"/>
    <s v="Pens"/>
    <x v="8"/>
    <s v="North"/>
    <s v="Uttar Pradesh"/>
    <n v="3767.7"/>
    <n v="2"/>
    <n v="0.05"/>
    <n v="582.48"/>
    <s v="Net Banking"/>
    <x v="1"/>
    <x v="1"/>
  </r>
  <r>
    <s v="ORD10050"/>
    <d v="2024-09-06T00:00:00"/>
    <s v="Neha Yadav"/>
    <s v="Office Supplies"/>
    <s v="Staplers"/>
    <x v="29"/>
    <s v="West"/>
    <s v="Goa"/>
    <n v="2043"/>
    <n v="5"/>
    <n v="0.1"/>
    <n v="472.6"/>
    <s v="Net Banking"/>
    <x v="0"/>
    <x v="10"/>
  </r>
  <r>
    <s v="ORD10051"/>
    <d v="2024-12-14T00:00:00"/>
    <s v="Vikram Patel"/>
    <s v="Office Supplies"/>
    <s v="Staplers"/>
    <x v="7"/>
    <s v="East"/>
    <s v="West Bengal"/>
    <n v="5227.2"/>
    <n v="6"/>
    <n v="0.1"/>
    <n v="1121.58"/>
    <s v="Net Banking"/>
    <x v="0"/>
    <x v="3"/>
  </r>
  <r>
    <s v="ORD10052"/>
    <d v="2025-12-08T00:00:00"/>
    <s v="Neha Yadav"/>
    <s v="Office Supplies"/>
    <s v="Pens"/>
    <x v="30"/>
    <s v="North"/>
    <s v="Punjab"/>
    <n v="6723.2"/>
    <n v="4"/>
    <n v="0.2"/>
    <n v="1221.1500000000001"/>
    <s v="Cash"/>
    <x v="1"/>
    <x v="3"/>
  </r>
  <r>
    <s v="ORD10053"/>
    <d v="2025-07-20T00:00:00"/>
    <s v="Aditya Mehta"/>
    <s v="Furniture"/>
    <s v="Chairs"/>
    <x v="5"/>
    <s v="North"/>
    <s v="Haryana"/>
    <n v="49123.199999999997"/>
    <n v="7"/>
    <n v="0.2"/>
    <n v="5099.1899999999996"/>
    <s v="Debit Card"/>
    <x v="1"/>
    <x v="4"/>
  </r>
  <r>
    <s v="ORD10054"/>
    <d v="2024-07-16T00:00:00"/>
    <s v="Sneha Joshi"/>
    <s v="Furniture"/>
    <s v="Cabinets"/>
    <x v="9"/>
    <s v="East"/>
    <s v="Bihar"/>
    <n v="82437.2"/>
    <n v="8"/>
    <n v="0.05"/>
    <n v="7553.82"/>
    <s v="UPI"/>
    <x v="0"/>
    <x v="4"/>
  </r>
  <r>
    <s v="ORD10055"/>
    <d v="2024-10-30T00:00:00"/>
    <s v="Ananya Gupta"/>
    <s v="Office Supplies"/>
    <s v="Storage Boxes"/>
    <x v="14"/>
    <s v="South"/>
    <s v="Tamil Nadu"/>
    <n v="10072"/>
    <n v="8"/>
    <n v="0"/>
    <n v="2483.0100000000002"/>
    <s v="Debit Card"/>
    <x v="0"/>
    <x v="2"/>
  </r>
  <r>
    <s v="ORD10056"/>
    <d v="2024-01-13T00:00:00"/>
    <s v="Pooja Mishra"/>
    <s v="Technology"/>
    <s v="Monitors"/>
    <x v="11"/>
    <s v="North"/>
    <s v="Punjab"/>
    <n v="4057.05"/>
    <n v="1"/>
    <n v="0.15"/>
    <n v="255.67"/>
    <s v="Debit Card"/>
    <x v="0"/>
    <x v="6"/>
  </r>
  <r>
    <s v="ORD10057"/>
    <d v="2024-03-16T00:00:00"/>
    <s v="Pooja Mishra"/>
    <s v="Furniture"/>
    <s v="Tables"/>
    <x v="26"/>
    <s v="West"/>
    <s v="Rajasthan"/>
    <n v="16454"/>
    <n v="1"/>
    <n v="0"/>
    <n v="2634.97"/>
    <s v="UPI"/>
    <x v="0"/>
    <x v="8"/>
  </r>
  <r>
    <s v="ORD10058"/>
    <d v="2025-03-29T00:00:00"/>
    <s v="Vikram Patel"/>
    <s v="Technology"/>
    <s v="Smartphones"/>
    <x v="10"/>
    <s v="East"/>
    <s v="West Bengal"/>
    <n v="60436.800000000003"/>
    <n v="2"/>
    <n v="0.2"/>
    <n v="6410.87"/>
    <s v="Net Banking"/>
    <x v="1"/>
    <x v="8"/>
  </r>
  <r>
    <s v="ORD10059"/>
    <d v="2024-03-17T00:00:00"/>
    <s v="Rahul Verma"/>
    <s v="Furniture"/>
    <s v="Bookcases"/>
    <x v="19"/>
    <s v="North"/>
    <s v="Delhi"/>
    <n v="13148"/>
    <n v="4"/>
    <n v="0.05"/>
    <n v="1344.55"/>
    <s v="UPI"/>
    <x v="0"/>
    <x v="8"/>
  </r>
  <r>
    <s v="ORD10060"/>
    <d v="2024-09-27T00:00:00"/>
    <s v="Pooja Mishra"/>
    <s v="Furniture"/>
    <s v="Tables"/>
    <x v="26"/>
    <s v="West"/>
    <s v="Rajasthan"/>
    <n v="40256"/>
    <n v="4"/>
    <n v="0"/>
    <n v="8754.75"/>
    <s v="Credit Card"/>
    <x v="0"/>
    <x v="10"/>
  </r>
  <r>
    <s v="ORD10061"/>
    <d v="2025-08-05T00:00:00"/>
    <s v="Vikram Patel"/>
    <s v="Furniture"/>
    <s v="Chairs"/>
    <x v="25"/>
    <s v="South"/>
    <s v="Tamil Nadu"/>
    <n v="7435.8"/>
    <n v="3"/>
    <n v="0.1"/>
    <n v="1293.8900000000001"/>
    <s v="Cash"/>
    <x v="1"/>
    <x v="9"/>
  </r>
  <r>
    <s v="ORD10062"/>
    <d v="2025-09-10T00:00:00"/>
    <s v="Vikram Patel"/>
    <s v="Technology"/>
    <s v="Keyboards"/>
    <x v="15"/>
    <s v="East"/>
    <s v="Jharkhand"/>
    <n v="203238.39999999999"/>
    <n v="8"/>
    <n v="0.15"/>
    <n v="38494.730000000003"/>
    <s v="UPI"/>
    <x v="1"/>
    <x v="10"/>
  </r>
  <r>
    <s v="ORD10063"/>
    <d v="2024-10-11T00:00:00"/>
    <s v="Rahul Verma"/>
    <s v="Technology"/>
    <s v="Smartphones"/>
    <x v="1"/>
    <s v="North"/>
    <s v="Haryana"/>
    <n v="40968.800000000003"/>
    <n v="1"/>
    <n v="0.2"/>
    <n v="6567.38"/>
    <s v="Net Banking"/>
    <x v="0"/>
    <x v="2"/>
  </r>
  <r>
    <s v="ORD10064"/>
    <d v="2025-12-11T00:00:00"/>
    <s v="Neha Yadav"/>
    <s v="Furniture"/>
    <s v="Tables"/>
    <x v="31"/>
    <s v="North"/>
    <s v="Uttar Pradesh"/>
    <n v="75278"/>
    <n v="7"/>
    <n v="0.05"/>
    <n v="10046.66"/>
    <s v="Debit Card"/>
    <x v="1"/>
    <x v="3"/>
  </r>
  <r>
    <s v="ORD10065"/>
    <d v="2024-01-02T00:00:00"/>
    <s v="Aditya Mehta"/>
    <s v="Office Supplies"/>
    <s v="Staplers"/>
    <x v="21"/>
    <s v="North"/>
    <s v="Uttar Pradesh"/>
    <n v="2927.4"/>
    <n v="6"/>
    <n v="0.15"/>
    <n v="630.79999999999995"/>
    <s v="Cash"/>
    <x v="0"/>
    <x v="6"/>
  </r>
  <r>
    <s v="ORD10066"/>
    <d v="2024-05-14T00:00:00"/>
    <s v="Vikram Patel"/>
    <s v="Furniture"/>
    <s v="Chairs"/>
    <x v="23"/>
    <s v="South"/>
    <s v="Telangana"/>
    <n v="116158.39999999999"/>
    <n v="8"/>
    <n v="0.05"/>
    <n v="14044.86"/>
    <s v="Cash"/>
    <x v="0"/>
    <x v="7"/>
  </r>
  <r>
    <s v="ORD10067"/>
    <d v="2025-02-21T00:00:00"/>
    <s v="Priya Singh"/>
    <s v="Office Supplies"/>
    <s v="Staplers"/>
    <x v="29"/>
    <s v="North"/>
    <s v="Delhi"/>
    <n v="4390.3999999999996"/>
    <n v="4"/>
    <n v="0.2"/>
    <n v="143.72"/>
    <s v="Credit Card"/>
    <x v="1"/>
    <x v="0"/>
  </r>
  <r>
    <s v="ORD10068"/>
    <d v="2024-09-06T00:00:00"/>
    <s v="Neha Yadav"/>
    <s v="Technology"/>
    <s v="Keyboards"/>
    <x v="15"/>
    <s v="North"/>
    <s v="Punjab"/>
    <n v="146833.25"/>
    <n v="5"/>
    <n v="0.15"/>
    <n v="35026.910000000003"/>
    <s v="Net Banking"/>
    <x v="0"/>
    <x v="10"/>
  </r>
  <r>
    <s v="ORD10069"/>
    <d v="2024-01-03T00:00:00"/>
    <s v="Vikram Patel"/>
    <s v="Technology"/>
    <s v="Keyboards"/>
    <x v="28"/>
    <s v="South"/>
    <s v="Tamil Nadu"/>
    <n v="207352"/>
    <n v="5"/>
    <n v="0.2"/>
    <n v="17300.32"/>
    <s v="Debit Card"/>
    <x v="0"/>
    <x v="6"/>
  </r>
  <r>
    <s v="ORD10070"/>
    <d v="2024-11-25T00:00:00"/>
    <s v="Ananya Gupta"/>
    <s v="Office Supplies"/>
    <s v="Storage Boxes"/>
    <x v="6"/>
    <s v="West"/>
    <s v="Gujarat"/>
    <n v="15104"/>
    <n v="8"/>
    <n v="0.2"/>
    <n v="1592.6"/>
    <s v="Credit Card"/>
    <x v="0"/>
    <x v="11"/>
  </r>
  <r>
    <s v="ORD10071"/>
    <d v="2025-10-29T00:00:00"/>
    <s v="Rahul Verma"/>
    <s v="Office Supplies"/>
    <s v="Staplers"/>
    <x v="21"/>
    <s v="South"/>
    <s v="Kerala"/>
    <n v="8471.1"/>
    <n v="6"/>
    <n v="0.15"/>
    <n v="2034.61"/>
    <s v="Cash"/>
    <x v="1"/>
    <x v="2"/>
  </r>
  <r>
    <s v="ORD10072"/>
    <d v="2025-11-01T00:00:00"/>
    <s v="Rahul Verma"/>
    <s v="Technology"/>
    <s v="Smartphones"/>
    <x v="13"/>
    <s v="East"/>
    <s v="West Bengal"/>
    <n v="67769.2"/>
    <n v="2"/>
    <n v="0.05"/>
    <n v="10131.209999999999"/>
    <s v="UPI"/>
    <x v="1"/>
    <x v="11"/>
  </r>
  <r>
    <s v="ORD10073"/>
    <d v="2025-10-03T00:00:00"/>
    <s v="Neha Yadav"/>
    <s v="Furniture"/>
    <s v="Bookcases"/>
    <x v="32"/>
    <s v="East"/>
    <s v="Jharkhand"/>
    <n v="19662.2"/>
    <n v="2"/>
    <n v="0.15"/>
    <n v="4587.74"/>
    <s v="Net Banking"/>
    <x v="1"/>
    <x v="2"/>
  </r>
  <r>
    <s v="ORD10074"/>
    <d v="2025-12-21T00:00:00"/>
    <s v="Priya Singh"/>
    <s v="Technology"/>
    <s v="Printers"/>
    <x v="33"/>
    <s v="North"/>
    <s v="Punjab"/>
    <n v="80540"/>
    <n v="5"/>
    <n v="0"/>
    <n v="18691.240000000002"/>
    <s v="Cash"/>
    <x v="1"/>
    <x v="3"/>
  </r>
  <r>
    <s v="ORD10075"/>
    <d v="2025-06-27T00:00:00"/>
    <s v="Rohan Khan"/>
    <s v="Technology"/>
    <s v="Monitors"/>
    <x v="11"/>
    <s v="North"/>
    <s v="Delhi"/>
    <n v="17362.099999999999"/>
    <n v="1"/>
    <n v="0.15"/>
    <n v="1243.3699999999999"/>
    <s v="Net Banking"/>
    <x v="1"/>
    <x v="1"/>
  </r>
  <r>
    <s v="ORD10076"/>
    <d v="2025-04-17T00:00:00"/>
    <s v="Vikram Patel"/>
    <s v="Office Supplies"/>
    <s v="Binders"/>
    <x v="34"/>
    <s v="South"/>
    <s v="Tamil Nadu"/>
    <n v="11972.8"/>
    <n v="7"/>
    <n v="0.2"/>
    <n v="701.89"/>
    <s v="Cash"/>
    <x v="1"/>
    <x v="5"/>
  </r>
  <r>
    <s v="ORD10077"/>
    <d v="2025-03-10T00:00:00"/>
    <s v="Vikram Patel"/>
    <s v="Furniture"/>
    <s v="Chairs"/>
    <x v="23"/>
    <s v="West"/>
    <s v="Rajasthan"/>
    <n v="36657.599999999999"/>
    <n v="3"/>
    <n v="0.2"/>
    <n v="3292.98"/>
    <s v="Cash"/>
    <x v="1"/>
    <x v="8"/>
  </r>
  <r>
    <s v="ORD10078"/>
    <d v="2024-10-29T00:00:00"/>
    <s v="Aarav Sharma"/>
    <s v="Furniture"/>
    <s v="Desks"/>
    <x v="2"/>
    <s v="West"/>
    <s v="Goa"/>
    <n v="45223.199999999997"/>
    <n v="4"/>
    <n v="0.1"/>
    <n v="11465.82"/>
    <s v="Cash"/>
    <x v="0"/>
    <x v="2"/>
  </r>
  <r>
    <s v="ORD10079"/>
    <d v="2025-11-25T00:00:00"/>
    <s v="Rahul Verma"/>
    <s v="Furniture"/>
    <s v="Chairs"/>
    <x v="25"/>
    <s v="North"/>
    <s v="Uttar Pradesh"/>
    <n v="46907.199999999997"/>
    <n v="4"/>
    <n v="0.05"/>
    <n v="8991.09"/>
    <s v="UPI"/>
    <x v="1"/>
    <x v="11"/>
  </r>
  <r>
    <s v="ORD10080"/>
    <d v="2025-03-01T00:00:00"/>
    <s v="Rahul Verma"/>
    <s v="Office Supplies"/>
    <s v="Paper"/>
    <x v="0"/>
    <s v="East"/>
    <s v="Jharkhand"/>
    <n v="2532.6"/>
    <n v="6"/>
    <n v="0.1"/>
    <n v="304.77999999999997"/>
    <s v="Credit Card"/>
    <x v="1"/>
    <x v="8"/>
  </r>
  <r>
    <s v="ORD10081"/>
    <d v="2025-04-24T00:00:00"/>
    <s v="Priya Singh"/>
    <s v="Technology"/>
    <s v="Printers"/>
    <x v="35"/>
    <s v="East"/>
    <s v="Bihar"/>
    <n v="274963.5"/>
    <n v="5"/>
    <n v="0.1"/>
    <n v="59349.91"/>
    <s v="Credit Card"/>
    <x v="1"/>
    <x v="5"/>
  </r>
  <r>
    <s v="ORD10082"/>
    <d v="2025-11-19T00:00:00"/>
    <s v="Vikram Patel"/>
    <s v="Technology"/>
    <s v="Keyboards"/>
    <x v="15"/>
    <s v="East"/>
    <s v="West Bengal"/>
    <n v="16677.900000000001"/>
    <n v="1"/>
    <n v="0.1"/>
    <n v="3161.56"/>
    <s v="Net Banking"/>
    <x v="1"/>
    <x v="11"/>
  </r>
  <r>
    <s v="ORD10083"/>
    <d v="2025-04-20T00:00:00"/>
    <s v="Vikram Patel"/>
    <s v="Furniture"/>
    <s v="Bookcases"/>
    <x v="27"/>
    <s v="North"/>
    <s v="Punjab"/>
    <n v="11548"/>
    <n v="1"/>
    <n v="0"/>
    <n v="2391.37"/>
    <s v="Cash"/>
    <x v="1"/>
    <x v="5"/>
  </r>
  <r>
    <s v="ORD10084"/>
    <d v="2025-04-09T00:00:00"/>
    <s v="Sneha Joshi"/>
    <s v="Technology"/>
    <s v="Smartphones"/>
    <x v="13"/>
    <s v="North"/>
    <s v="Delhi"/>
    <n v="56384"/>
    <n v="8"/>
    <n v="0.2"/>
    <n v="3221.38"/>
    <s v="Net Banking"/>
    <x v="1"/>
    <x v="5"/>
  </r>
  <r>
    <s v="ORD10085"/>
    <d v="2025-01-14T00:00:00"/>
    <s v="Ananya Gupta"/>
    <s v="Furniture"/>
    <s v="Cabinets"/>
    <x v="9"/>
    <s v="South"/>
    <s v="Kerala"/>
    <n v="30301.200000000001"/>
    <n v="2"/>
    <n v="0.1"/>
    <n v="1864.83"/>
    <s v="Cash"/>
    <x v="1"/>
    <x v="6"/>
  </r>
  <r>
    <s v="ORD10086"/>
    <d v="2024-05-05T00:00:00"/>
    <s v="Neha Yadav"/>
    <s v="Furniture"/>
    <s v="Desks"/>
    <x v="36"/>
    <s v="East"/>
    <s v="West Bengal"/>
    <n v="64020.3"/>
    <n v="6"/>
    <n v="0.15"/>
    <n v="6253.27"/>
    <s v="UPI"/>
    <x v="0"/>
    <x v="7"/>
  </r>
  <r>
    <s v="ORD10087"/>
    <d v="2024-08-09T00:00:00"/>
    <s v="Ananya Gupta"/>
    <s v="Office Supplies"/>
    <s v="Binders"/>
    <x v="4"/>
    <s v="North"/>
    <s v="Delhi"/>
    <n v="1219.2"/>
    <n v="4"/>
    <n v="0.2"/>
    <n v="87.09"/>
    <s v="Debit Card"/>
    <x v="0"/>
    <x v="9"/>
  </r>
  <r>
    <s v="ORD10088"/>
    <d v="2024-01-27T00:00:00"/>
    <s v="Rahul Verma"/>
    <s v="Technology"/>
    <s v="Printers"/>
    <x v="35"/>
    <s v="North"/>
    <s v="Haryana"/>
    <n v="109809"/>
    <n v="3"/>
    <n v="0"/>
    <n v="23302.74"/>
    <s v="UPI"/>
    <x v="0"/>
    <x v="6"/>
  </r>
  <r>
    <s v="ORD10089"/>
    <d v="2024-03-06T00:00:00"/>
    <s v="Neha Yadav"/>
    <s v="Furniture"/>
    <s v="Desks"/>
    <x v="2"/>
    <s v="East"/>
    <s v="West Bengal"/>
    <n v="19812"/>
    <n v="5"/>
    <n v="0.2"/>
    <n v="1044.68"/>
    <s v="Cash"/>
    <x v="0"/>
    <x v="8"/>
  </r>
  <r>
    <s v="ORD10090"/>
    <d v="2024-02-01T00:00:00"/>
    <s v="Aarav Sharma"/>
    <s v="Furniture"/>
    <s v="Cabinets"/>
    <x v="9"/>
    <s v="North"/>
    <s v="Uttar Pradesh"/>
    <n v="7992"/>
    <n v="4"/>
    <n v="0.1"/>
    <n v="1171.7"/>
    <s v="Cash"/>
    <x v="0"/>
    <x v="0"/>
  </r>
  <r>
    <s v="ORD10091"/>
    <d v="2024-05-09T00:00:00"/>
    <s v="Vikram Patel"/>
    <s v="Furniture"/>
    <s v="Tables"/>
    <x v="24"/>
    <s v="North"/>
    <s v="Uttar Pradesh"/>
    <n v="22060.799999999999"/>
    <n v="8"/>
    <n v="0.2"/>
    <n v="1316.3"/>
    <s v="Net Banking"/>
    <x v="0"/>
    <x v="7"/>
  </r>
  <r>
    <s v="ORD10092"/>
    <d v="2024-04-27T00:00:00"/>
    <s v="Aditya Mehta"/>
    <s v="Office Supplies"/>
    <s v="Storage Boxes"/>
    <x v="18"/>
    <s v="East"/>
    <s v="Jharkhand"/>
    <n v="9310"/>
    <n v="5"/>
    <n v="0"/>
    <n v="2221.54"/>
    <s v="Credit Card"/>
    <x v="0"/>
    <x v="5"/>
  </r>
  <r>
    <s v="ORD10093"/>
    <d v="2025-11-12T00:00:00"/>
    <s v="Vikram Patel"/>
    <s v="Furniture"/>
    <s v="Tables"/>
    <x v="31"/>
    <s v="South"/>
    <s v="Kerala"/>
    <n v="103903.2"/>
    <n v="8"/>
    <n v="0.1"/>
    <n v="14583.11"/>
    <s v="Debit Card"/>
    <x v="1"/>
    <x v="11"/>
  </r>
  <r>
    <s v="ORD10094"/>
    <d v="2025-08-23T00:00:00"/>
    <s v="Aditya Mehta"/>
    <s v="Technology"/>
    <s v="Keyboards"/>
    <x v="28"/>
    <s v="North"/>
    <s v="Delhi"/>
    <n v="56055.7"/>
    <n v="2"/>
    <n v="0.05"/>
    <n v="10021.31"/>
    <s v="Net Banking"/>
    <x v="1"/>
    <x v="9"/>
  </r>
  <r>
    <s v="ORD10095"/>
    <d v="2024-04-16T00:00:00"/>
    <s v="Pooja Mishra"/>
    <s v="Furniture"/>
    <s v="Chairs"/>
    <x v="23"/>
    <s v="West"/>
    <s v="Rajasthan"/>
    <n v="13916"/>
    <n v="7"/>
    <n v="0.2"/>
    <n v="1287.0899999999999"/>
    <s v="Net Banking"/>
    <x v="0"/>
    <x v="5"/>
  </r>
  <r>
    <s v="ORD10096"/>
    <d v="2025-03-15T00:00:00"/>
    <s v="Aditya Mehta"/>
    <s v="Technology"/>
    <s v="Smartphones"/>
    <x v="10"/>
    <s v="West"/>
    <s v="Gujarat"/>
    <n v="305650.8"/>
    <n v="6"/>
    <n v="0.1"/>
    <n v="51905.62"/>
    <s v="Net Banking"/>
    <x v="1"/>
    <x v="8"/>
  </r>
  <r>
    <s v="ORD10097"/>
    <d v="2024-05-26T00:00:00"/>
    <s v="Pooja Mishra"/>
    <s v="Office Supplies"/>
    <s v="Storage Boxes"/>
    <x v="14"/>
    <s v="North"/>
    <s v="Haryana"/>
    <n v="4025.7"/>
    <n v="3"/>
    <n v="0.1"/>
    <n v="226.33"/>
    <s v="Cash"/>
    <x v="0"/>
    <x v="7"/>
  </r>
  <r>
    <s v="ORD10098"/>
    <d v="2024-11-15T00:00:00"/>
    <s v="Sneha Joshi"/>
    <s v="Technology"/>
    <s v="Smartphones"/>
    <x v="1"/>
    <s v="North"/>
    <s v="Delhi"/>
    <n v="93074.4"/>
    <n v="4"/>
    <n v="0.1"/>
    <n v="8049.25"/>
    <s v="Net Banking"/>
    <x v="0"/>
    <x v="11"/>
  </r>
  <r>
    <s v="ORD10099"/>
    <d v="2025-05-12T00:00:00"/>
    <s v="Pooja Mishra"/>
    <s v="Office Supplies"/>
    <s v="Paper"/>
    <x v="0"/>
    <s v="North"/>
    <s v="Punjab"/>
    <n v="1031.9000000000001"/>
    <n v="1"/>
    <n v="0.15"/>
    <n v="180.47"/>
    <s v="Cash"/>
    <x v="1"/>
    <x v="7"/>
  </r>
  <r>
    <s v="ORD10100"/>
    <d v="2024-02-16T00:00:00"/>
    <s v="Ananya Gupta"/>
    <s v="Furniture"/>
    <s v="Bookcases"/>
    <x v="27"/>
    <s v="South"/>
    <s v="Karnataka"/>
    <n v="56453.599999999999"/>
    <n v="7"/>
    <n v="0.2"/>
    <n v="9226.01"/>
    <s v="Cash"/>
    <x v="0"/>
    <x v="0"/>
  </r>
  <r>
    <s v="ORD10101"/>
    <d v="2024-01-08T00:00:00"/>
    <s v="Neha Yadav"/>
    <s v="Office Supplies"/>
    <s v="Paper"/>
    <x v="37"/>
    <s v="North"/>
    <s v="Punjab"/>
    <n v="4125.6000000000004"/>
    <n v="4"/>
    <n v="0.1"/>
    <n v="497.65"/>
    <s v="Cash"/>
    <x v="0"/>
    <x v="6"/>
  </r>
  <r>
    <s v="ORD10102"/>
    <d v="2024-03-20T00:00:00"/>
    <s v="Sneha Joshi"/>
    <s v="Technology"/>
    <s v="Smartphones"/>
    <x v="1"/>
    <s v="West"/>
    <s v="Gujarat"/>
    <n v="30207.3"/>
    <n v="6"/>
    <n v="0.15"/>
    <n v="1397.04"/>
    <s v="Net Banking"/>
    <x v="0"/>
    <x v="8"/>
  </r>
  <r>
    <s v="ORD10103"/>
    <d v="2025-09-24T00:00:00"/>
    <s v="Neha Yadav"/>
    <s v="Furniture"/>
    <s v="Cabinets"/>
    <x v="38"/>
    <s v="West"/>
    <s v="Goa"/>
    <n v="2817.7"/>
    <n v="2"/>
    <n v="0.05"/>
    <n v="641.77"/>
    <s v="Debit Card"/>
    <x v="1"/>
    <x v="10"/>
  </r>
  <r>
    <s v="ORD10104"/>
    <d v="2024-08-14T00:00:00"/>
    <s v="Sneha Joshi"/>
    <s v="Technology"/>
    <s v="Keyboards"/>
    <x v="15"/>
    <s v="North"/>
    <s v="Punjab"/>
    <n v="223889.4"/>
    <n v="7"/>
    <n v="0.1"/>
    <n v="45709.48"/>
    <s v="Credit Card"/>
    <x v="0"/>
    <x v="9"/>
  </r>
  <r>
    <s v="ORD10105"/>
    <d v="2024-07-21T00:00:00"/>
    <s v="Rahul Verma"/>
    <s v="Technology"/>
    <s v="Printers"/>
    <x v="39"/>
    <s v="North"/>
    <s v="Punjab"/>
    <n v="293214"/>
    <n v="6"/>
    <n v="0"/>
    <n v="32045.02"/>
    <s v="Net Banking"/>
    <x v="0"/>
    <x v="4"/>
  </r>
  <r>
    <s v="ORD10106"/>
    <d v="2025-04-25T00:00:00"/>
    <s v="Neha Yadav"/>
    <s v="Technology"/>
    <s v="Laptops"/>
    <x v="12"/>
    <s v="South"/>
    <s v="Kerala"/>
    <n v="348368.8"/>
    <n v="8"/>
    <n v="0.05"/>
    <n v="54154.82"/>
    <s v="Debit Card"/>
    <x v="1"/>
    <x v="5"/>
  </r>
  <r>
    <s v="ORD10107"/>
    <d v="2024-10-20T00:00:00"/>
    <s v="Priya Singh"/>
    <s v="Furniture"/>
    <s v="Cabinets"/>
    <x v="9"/>
    <s v="North"/>
    <s v="Haryana"/>
    <n v="31860"/>
    <n v="2"/>
    <n v="0"/>
    <n v="2911.3"/>
    <s v="UPI"/>
    <x v="0"/>
    <x v="2"/>
  </r>
  <r>
    <s v="ORD10108"/>
    <d v="2024-06-03T00:00:00"/>
    <s v="Aarav Sharma"/>
    <s v="Office Supplies"/>
    <s v="Storage Boxes"/>
    <x v="18"/>
    <s v="West"/>
    <s v="Goa"/>
    <n v="1132.8"/>
    <n v="1"/>
    <n v="0.2"/>
    <n v="141.74"/>
    <s v="Cash"/>
    <x v="0"/>
    <x v="1"/>
  </r>
  <r>
    <s v="ORD10109"/>
    <d v="2024-06-11T00:00:00"/>
    <s v="Sneha Joshi"/>
    <s v="Technology"/>
    <s v="Monitors"/>
    <x v="20"/>
    <s v="North"/>
    <s v="Punjab"/>
    <n v="152236.79999999999"/>
    <n v="4"/>
    <n v="0.2"/>
    <n v="20483.400000000001"/>
    <s v="Debit Card"/>
    <x v="0"/>
    <x v="1"/>
  </r>
  <r>
    <s v="ORD10110"/>
    <d v="2025-11-25T00:00:00"/>
    <s v="Rohan Khan"/>
    <s v="Furniture"/>
    <s v="Tables"/>
    <x v="24"/>
    <s v="West"/>
    <s v="Rajasthan"/>
    <n v="10588.5"/>
    <n v="1"/>
    <n v="0.1"/>
    <n v="782.5"/>
    <s v="Debit Card"/>
    <x v="1"/>
    <x v="11"/>
  </r>
  <r>
    <s v="ORD10111"/>
    <d v="2025-12-26T00:00:00"/>
    <s v="Priya Singh"/>
    <s v="Furniture"/>
    <s v="Cabinets"/>
    <x v="40"/>
    <s v="South"/>
    <s v="Telangana"/>
    <n v="31268.1"/>
    <n v="3"/>
    <n v="0.15"/>
    <n v="2135.31"/>
    <s v="Debit Card"/>
    <x v="1"/>
    <x v="3"/>
  </r>
  <r>
    <s v="ORD10112"/>
    <d v="2024-11-12T00:00:00"/>
    <s v="Rahul Verma"/>
    <s v="Office Supplies"/>
    <s v="Staplers"/>
    <x v="29"/>
    <s v="East"/>
    <s v="Odisha"/>
    <n v="3927.6"/>
    <n v="2"/>
    <n v="0.1"/>
    <n v="230.34"/>
    <s v="Credit Card"/>
    <x v="0"/>
    <x v="11"/>
  </r>
  <r>
    <s v="ORD10113"/>
    <d v="2025-06-23T00:00:00"/>
    <s v="Aarav Sharma"/>
    <s v="Furniture"/>
    <s v="Tables"/>
    <x v="26"/>
    <s v="South"/>
    <s v="Tamil Nadu"/>
    <n v="25180.799999999999"/>
    <n v="3"/>
    <n v="0.2"/>
    <n v="4637.67"/>
    <s v="Debit Card"/>
    <x v="1"/>
    <x v="1"/>
  </r>
  <r>
    <s v="ORD10114"/>
    <d v="2025-11-23T00:00:00"/>
    <s v="Ananya Gupta"/>
    <s v="Office Supplies"/>
    <s v="Binders"/>
    <x v="34"/>
    <s v="West"/>
    <s v="Gujarat"/>
    <n v="5676"/>
    <n v="3"/>
    <n v="0"/>
    <n v="920.49"/>
    <s v="Cash"/>
    <x v="1"/>
    <x v="11"/>
  </r>
  <r>
    <s v="ORD10115"/>
    <d v="2025-08-07T00:00:00"/>
    <s v="Neha Yadav"/>
    <s v="Office Supplies"/>
    <s v="Pens"/>
    <x v="41"/>
    <s v="West"/>
    <s v="Gujarat"/>
    <n v="3218.4"/>
    <n v="4"/>
    <n v="0.1"/>
    <n v="613.62"/>
    <s v="Cash"/>
    <x v="1"/>
    <x v="9"/>
  </r>
  <r>
    <s v="ORD10116"/>
    <d v="2025-07-21T00:00:00"/>
    <s v="Priya Singh"/>
    <s v="Furniture"/>
    <s v="Tables"/>
    <x v="26"/>
    <s v="West"/>
    <s v="Gujarat"/>
    <n v="22929.599999999999"/>
    <n v="3"/>
    <n v="0.15"/>
    <n v="4983.1400000000003"/>
    <s v="Net Banking"/>
    <x v="1"/>
    <x v="4"/>
  </r>
  <r>
    <s v="ORD10117"/>
    <d v="2024-08-15T00:00:00"/>
    <s v="Neha Yadav"/>
    <s v="Technology"/>
    <s v="Monitors"/>
    <x v="11"/>
    <s v="North"/>
    <s v="Punjab"/>
    <n v="411604"/>
    <n v="8"/>
    <n v="0.15"/>
    <n v="25043.1"/>
    <s v="Debit Card"/>
    <x v="0"/>
    <x v="9"/>
  </r>
  <r>
    <s v="ORD10118"/>
    <d v="2024-11-22T00:00:00"/>
    <s v="Priya Singh"/>
    <s v="Technology"/>
    <s v="Keyboards"/>
    <x v="3"/>
    <s v="North"/>
    <s v="Uttar Pradesh"/>
    <n v="89915.4"/>
    <n v="6"/>
    <n v="0.1"/>
    <n v="8983.25"/>
    <s v="Debit Card"/>
    <x v="0"/>
    <x v="11"/>
  </r>
  <r>
    <s v="ORD10119"/>
    <d v="2024-03-22T00:00:00"/>
    <s v="Aarav Sharma"/>
    <s v="Technology"/>
    <s v="Smartphones"/>
    <x v="13"/>
    <s v="North"/>
    <s v="Haryana"/>
    <n v="122234.4"/>
    <n v="3"/>
    <n v="0.2"/>
    <n v="3795.41"/>
    <s v="Debit Card"/>
    <x v="0"/>
    <x v="8"/>
  </r>
  <r>
    <s v="ORD10120"/>
    <d v="2025-09-29T00:00:00"/>
    <s v="Neha Yadav"/>
    <s v="Technology"/>
    <s v="Smartphones"/>
    <x v="13"/>
    <s v="West"/>
    <s v="Maharashtra"/>
    <n v="79556.800000000003"/>
    <n v="4"/>
    <n v="0.05"/>
    <n v="12050.08"/>
    <s v="UPI"/>
    <x v="1"/>
    <x v="10"/>
  </r>
  <r>
    <s v="ORD10121"/>
    <d v="2025-08-07T00:00:00"/>
    <s v="Rohan Khan"/>
    <s v="Technology"/>
    <s v="Keyboards"/>
    <x v="3"/>
    <s v="North"/>
    <s v="Punjab"/>
    <n v="48691.199999999997"/>
    <n v="3"/>
    <n v="0.2"/>
    <n v="4896.54"/>
    <s v="Credit Card"/>
    <x v="1"/>
    <x v="9"/>
  </r>
  <r>
    <s v="ORD10122"/>
    <d v="2024-09-16T00:00:00"/>
    <s v="Aarav Sharma"/>
    <s v="Office Supplies"/>
    <s v="Paper"/>
    <x v="42"/>
    <s v="East"/>
    <s v="West Bengal"/>
    <n v="236.3"/>
    <n v="1"/>
    <n v="0.15"/>
    <n v="56.41"/>
    <s v="Debit Card"/>
    <x v="0"/>
    <x v="10"/>
  </r>
  <r>
    <s v="ORD10123"/>
    <d v="2025-10-20T00:00:00"/>
    <s v="Rahul Verma"/>
    <s v="Technology"/>
    <s v="Monitors"/>
    <x v="16"/>
    <s v="South"/>
    <s v="Karnataka"/>
    <n v="47726.400000000001"/>
    <n v="6"/>
    <n v="0.2"/>
    <n v="4663.32"/>
    <s v="Cash"/>
    <x v="1"/>
    <x v="2"/>
  </r>
  <r>
    <s v="ORD10124"/>
    <d v="2024-02-12T00:00:00"/>
    <s v="Sneha Joshi"/>
    <s v="Office Supplies"/>
    <s v="Staplers"/>
    <x v="21"/>
    <s v="South"/>
    <s v="Tamil Nadu"/>
    <n v="7400"/>
    <n v="8"/>
    <n v="0"/>
    <n v="1762.84"/>
    <s v="Debit Card"/>
    <x v="0"/>
    <x v="0"/>
  </r>
  <r>
    <s v="ORD10125"/>
    <d v="2025-01-11T00:00:00"/>
    <s v="Rohan Khan"/>
    <s v="Office Supplies"/>
    <s v="Staplers"/>
    <x v="21"/>
    <s v="West"/>
    <s v="Rajasthan"/>
    <n v="1062"/>
    <n v="4"/>
    <n v="0.1"/>
    <n v="116.44"/>
    <s v="Cash"/>
    <x v="1"/>
    <x v="6"/>
  </r>
  <r>
    <s v="ORD10126"/>
    <d v="2024-03-25T00:00:00"/>
    <s v="Rohan Khan"/>
    <s v="Office Supplies"/>
    <s v="Staplers"/>
    <x v="21"/>
    <s v="West"/>
    <s v="Rajasthan"/>
    <n v="10265.6"/>
    <n v="8"/>
    <n v="0.2"/>
    <n v="855.58"/>
    <s v="UPI"/>
    <x v="0"/>
    <x v="8"/>
  </r>
  <r>
    <s v="ORD10127"/>
    <d v="2025-03-12T00:00:00"/>
    <s v="Rahul Verma"/>
    <s v="Furniture"/>
    <s v="Cabinets"/>
    <x v="38"/>
    <s v="South"/>
    <s v="Telangana"/>
    <n v="20781"/>
    <n v="2"/>
    <n v="0.1"/>
    <n v="2996.27"/>
    <s v="Cash"/>
    <x v="1"/>
    <x v="8"/>
  </r>
  <r>
    <s v="ORD10128"/>
    <d v="2025-11-26T00:00:00"/>
    <s v="Rahul Verma"/>
    <s v="Furniture"/>
    <s v="Tables"/>
    <x v="24"/>
    <s v="North"/>
    <s v="Haryana"/>
    <n v="15940.05"/>
    <n v="7"/>
    <n v="0.15"/>
    <n v="1835.69"/>
    <s v="UPI"/>
    <x v="1"/>
    <x v="11"/>
  </r>
  <r>
    <s v="ORD10129"/>
    <d v="2024-02-03T00:00:00"/>
    <s v="Pooja Mishra"/>
    <s v="Technology"/>
    <s v="Printers"/>
    <x v="35"/>
    <s v="West"/>
    <s v="Maharashtra"/>
    <n v="28332.2"/>
    <n v="2"/>
    <n v="0.15"/>
    <n v="6584.22"/>
    <s v="Credit Card"/>
    <x v="0"/>
    <x v="0"/>
  </r>
  <r>
    <s v="ORD10130"/>
    <d v="2025-10-27T00:00:00"/>
    <s v="Vikram Patel"/>
    <s v="Office Supplies"/>
    <s v="Staplers"/>
    <x v="7"/>
    <s v="East"/>
    <s v="Bihar"/>
    <n v="4082.4"/>
    <n v="2"/>
    <n v="0.1"/>
    <n v="549.52"/>
    <s v="Credit Card"/>
    <x v="1"/>
    <x v="2"/>
  </r>
  <r>
    <s v="ORD10131"/>
    <d v="2024-08-07T00:00:00"/>
    <s v="Pooja Mishra"/>
    <s v="Technology"/>
    <s v="Laptops"/>
    <x v="43"/>
    <s v="South"/>
    <s v="Kerala"/>
    <n v="384734.7"/>
    <n v="7"/>
    <n v="0.1"/>
    <n v="75333.960000000006"/>
    <s v="Debit Card"/>
    <x v="0"/>
    <x v="9"/>
  </r>
  <r>
    <s v="ORD10132"/>
    <d v="2024-11-23T00:00:00"/>
    <s v="Sneha Joshi"/>
    <s v="Office Supplies"/>
    <s v="Staplers"/>
    <x v="21"/>
    <s v="South"/>
    <s v="Karnataka"/>
    <n v="3846"/>
    <n v="2"/>
    <n v="0"/>
    <n v="931.13"/>
    <s v="UPI"/>
    <x v="0"/>
    <x v="11"/>
  </r>
  <r>
    <s v="ORD10133"/>
    <d v="2024-07-24T00:00:00"/>
    <s v="Rahul Verma"/>
    <s v="Office Supplies"/>
    <s v="Storage Boxes"/>
    <x v="14"/>
    <s v="East"/>
    <s v="Bihar"/>
    <n v="6221.55"/>
    <n v="3"/>
    <n v="0.05"/>
    <n v="570.97"/>
    <s v="Credit Card"/>
    <x v="0"/>
    <x v="4"/>
  </r>
  <r>
    <s v="ORD10134"/>
    <d v="2025-05-05T00:00:00"/>
    <s v="Aditya Mehta"/>
    <s v="Furniture"/>
    <s v="Chairs"/>
    <x v="25"/>
    <s v="East"/>
    <s v="Bihar"/>
    <n v="9787.5"/>
    <n v="3"/>
    <n v="0.1"/>
    <n v="1317.71"/>
    <s v="Cash"/>
    <x v="1"/>
    <x v="7"/>
  </r>
  <r>
    <s v="ORD10135"/>
    <d v="2025-07-18T00:00:00"/>
    <s v="Pooja Mishra"/>
    <s v="Furniture"/>
    <s v="Cabinets"/>
    <x v="38"/>
    <s v="North"/>
    <s v="Punjab"/>
    <n v="28915.200000000001"/>
    <n v="2"/>
    <n v="0.1"/>
    <n v="2332.5"/>
    <s v="Credit Card"/>
    <x v="1"/>
    <x v="4"/>
  </r>
  <r>
    <s v="ORD10136"/>
    <d v="2024-08-18T00:00:00"/>
    <s v="Sneha Joshi"/>
    <s v="Technology"/>
    <s v="Keyboards"/>
    <x v="3"/>
    <s v="North"/>
    <s v="Delhi"/>
    <n v="57053.7"/>
    <n v="3"/>
    <n v="0.1"/>
    <n v="13804"/>
    <s v="Net Banking"/>
    <x v="0"/>
    <x v="9"/>
  </r>
  <r>
    <s v="ORD10137"/>
    <d v="2024-06-21T00:00:00"/>
    <s v="Pooja Mishra"/>
    <s v="Furniture"/>
    <s v="Chairs"/>
    <x v="23"/>
    <s v="East"/>
    <s v="Odisha"/>
    <n v="53610"/>
    <n v="5"/>
    <n v="0"/>
    <n v="9677.39"/>
    <s v="Net Banking"/>
    <x v="0"/>
    <x v="1"/>
  </r>
  <r>
    <s v="ORD10138"/>
    <d v="2025-10-16T00:00:00"/>
    <s v="Aarav Sharma"/>
    <s v="Technology"/>
    <s v="Smartphones"/>
    <x v="10"/>
    <s v="East"/>
    <s v="West Bengal"/>
    <n v="6686.4"/>
    <n v="2"/>
    <n v="0.2"/>
    <n v="757.69"/>
    <s v="Cash"/>
    <x v="1"/>
    <x v="2"/>
  </r>
  <r>
    <s v="ORD10139"/>
    <d v="2024-03-02T00:00:00"/>
    <s v="Rahul Verma"/>
    <s v="Office Supplies"/>
    <s v="Storage Boxes"/>
    <x v="6"/>
    <s v="East"/>
    <s v="Bihar"/>
    <n v="4481.2"/>
    <n v="4"/>
    <n v="0.15"/>
    <n v="255.85"/>
    <s v="Cash"/>
    <x v="0"/>
    <x v="8"/>
  </r>
  <r>
    <s v="ORD10140"/>
    <d v="2025-01-14T00:00:00"/>
    <s v="Aditya Mehta"/>
    <s v="Furniture"/>
    <s v="Tables"/>
    <x v="31"/>
    <s v="West"/>
    <s v="Gujarat"/>
    <n v="28720.65"/>
    <n v="3"/>
    <n v="0.15"/>
    <n v="1971.77"/>
    <s v="Net Banking"/>
    <x v="1"/>
    <x v="6"/>
  </r>
  <r>
    <s v="ORD10141"/>
    <d v="2025-01-28T00:00:00"/>
    <s v="Pooja Mishra"/>
    <s v="Technology"/>
    <s v="Monitors"/>
    <x v="20"/>
    <s v="South"/>
    <s v="Kerala"/>
    <n v="153320"/>
    <n v="5"/>
    <n v="0"/>
    <n v="13817.36"/>
    <s v="Cash"/>
    <x v="1"/>
    <x v="6"/>
  </r>
  <r>
    <s v="ORD10142"/>
    <d v="2025-05-24T00:00:00"/>
    <s v="Aarav Sharma"/>
    <s v="Technology"/>
    <s v="Smartphones"/>
    <x v="10"/>
    <s v="East"/>
    <s v="Bihar"/>
    <n v="86327.7"/>
    <n v="3"/>
    <n v="0.15"/>
    <n v="18846.64"/>
    <s v="UPI"/>
    <x v="1"/>
    <x v="7"/>
  </r>
  <r>
    <s v="ORD10143"/>
    <d v="2025-10-31T00:00:00"/>
    <s v="Neha Yadav"/>
    <s v="Furniture"/>
    <s v="Cabinets"/>
    <x v="40"/>
    <s v="West"/>
    <s v="Gujarat"/>
    <n v="12525.6"/>
    <n v="6"/>
    <n v="0.15"/>
    <n v="2029.19"/>
    <s v="Debit Card"/>
    <x v="1"/>
    <x v="2"/>
  </r>
  <r>
    <s v="ORD10144"/>
    <d v="2024-02-22T00:00:00"/>
    <s v="Pooja Mishra"/>
    <s v="Office Supplies"/>
    <s v="Paper"/>
    <x v="0"/>
    <s v="North"/>
    <s v="Uttar Pradesh"/>
    <n v="7879.5"/>
    <n v="5"/>
    <n v="0.1"/>
    <n v="504.67"/>
    <s v="Net Banking"/>
    <x v="0"/>
    <x v="0"/>
  </r>
  <r>
    <s v="ORD10145"/>
    <d v="2025-02-07T00:00:00"/>
    <s v="Sneha Joshi"/>
    <s v="Technology"/>
    <s v="Monitors"/>
    <x v="11"/>
    <s v="East"/>
    <s v="West Bengal"/>
    <n v="389842"/>
    <n v="8"/>
    <n v="0.05"/>
    <n v="102339.98"/>
    <s v="Debit Card"/>
    <x v="1"/>
    <x v="0"/>
  </r>
  <r>
    <s v="ORD10146"/>
    <d v="2024-12-07T00:00:00"/>
    <s v="Neha Yadav"/>
    <s v="Office Supplies"/>
    <s v="Pens"/>
    <x v="41"/>
    <s v="South"/>
    <s v="Tamil Nadu"/>
    <n v="1995"/>
    <n v="7"/>
    <n v="0"/>
    <n v="214.28"/>
    <s v="Net Banking"/>
    <x v="0"/>
    <x v="3"/>
  </r>
  <r>
    <s v="ORD10147"/>
    <d v="2025-06-05T00:00:00"/>
    <s v="Aditya Mehta"/>
    <s v="Furniture"/>
    <s v="Desks"/>
    <x v="36"/>
    <s v="South"/>
    <s v="Telangana"/>
    <n v="65644.800000000003"/>
    <n v="6"/>
    <n v="0.2"/>
    <n v="6385.58"/>
    <s v="Cash"/>
    <x v="1"/>
    <x v="1"/>
  </r>
  <r>
    <s v="ORD10148"/>
    <d v="2025-12-05T00:00:00"/>
    <s v="Aarav Sharma"/>
    <s v="Office Supplies"/>
    <s v="Storage Boxes"/>
    <x v="14"/>
    <s v="East"/>
    <s v="Jharkhand"/>
    <n v="8668.7999999999993"/>
    <n v="6"/>
    <n v="0.2"/>
    <n v="793.5"/>
    <s v="Net Banking"/>
    <x v="1"/>
    <x v="3"/>
  </r>
  <r>
    <s v="ORD10149"/>
    <d v="2024-09-05T00:00:00"/>
    <s v="Aarav Sharma"/>
    <s v="Furniture"/>
    <s v="Bookcases"/>
    <x v="32"/>
    <s v="South"/>
    <s v="Karnataka"/>
    <n v="136632.79999999999"/>
    <n v="8"/>
    <n v="0.05"/>
    <n v="31675.89"/>
    <s v="Net Banking"/>
    <x v="0"/>
    <x v="10"/>
  </r>
  <r>
    <s v="ORD10150"/>
    <d v="2025-09-18T00:00:00"/>
    <s v="Neha Yadav"/>
    <s v="Office Supplies"/>
    <s v="Paper"/>
    <x v="37"/>
    <s v="South"/>
    <s v="Karnataka"/>
    <n v="10208.700000000001"/>
    <n v="6"/>
    <n v="0.05"/>
    <n v="1526.97"/>
    <s v="UPI"/>
    <x v="1"/>
    <x v="10"/>
  </r>
  <r>
    <s v="ORD10151"/>
    <d v="2025-06-29T00:00:00"/>
    <s v="Sneha Joshi"/>
    <s v="Office Supplies"/>
    <s v="Binders"/>
    <x v="22"/>
    <s v="South"/>
    <s v="Telangana"/>
    <n v="10526"/>
    <n v="8"/>
    <n v="0.05"/>
    <n v="1678.19"/>
    <s v="Net Banking"/>
    <x v="1"/>
    <x v="1"/>
  </r>
  <r>
    <s v="ORD10152"/>
    <d v="2025-12-22T00:00:00"/>
    <s v="Ananya Gupta"/>
    <s v="Furniture"/>
    <s v="Bookcases"/>
    <x v="19"/>
    <s v="West"/>
    <s v="Gujarat"/>
    <n v="47614.5"/>
    <n v="5"/>
    <n v="0.1"/>
    <n v="9962.61"/>
    <s v="Cash"/>
    <x v="1"/>
    <x v="3"/>
  </r>
  <r>
    <s v="ORD10153"/>
    <d v="2024-05-29T00:00:00"/>
    <s v="Vikram Patel"/>
    <s v="Furniture"/>
    <s v="Tables"/>
    <x v="31"/>
    <s v="East"/>
    <s v="Bihar"/>
    <n v="23833.8"/>
    <n v="2"/>
    <n v="0.1"/>
    <n v="5861.25"/>
    <s v="UPI"/>
    <x v="0"/>
    <x v="7"/>
  </r>
  <r>
    <s v="ORD10154"/>
    <d v="2024-10-04T00:00:00"/>
    <s v="Aditya Mehta"/>
    <s v="Furniture"/>
    <s v="Chairs"/>
    <x v="23"/>
    <s v="East"/>
    <s v="Jharkhand"/>
    <n v="78365.5"/>
    <n v="5"/>
    <n v="0.05"/>
    <n v="18266.240000000002"/>
    <s v="Debit Card"/>
    <x v="0"/>
    <x v="2"/>
  </r>
  <r>
    <s v="ORD10155"/>
    <d v="2025-04-28T00:00:00"/>
    <s v="Priya Singh"/>
    <s v="Technology"/>
    <s v="Laptops"/>
    <x v="44"/>
    <s v="South"/>
    <s v="Tamil Nadu"/>
    <n v="172032"/>
    <n v="4"/>
    <n v="0"/>
    <n v="27982.77"/>
    <s v="Credit Card"/>
    <x v="1"/>
    <x v="5"/>
  </r>
  <r>
    <s v="ORD10156"/>
    <d v="2024-03-01T00:00:00"/>
    <s v="Priya Singh"/>
    <s v="Technology"/>
    <s v="Printers"/>
    <x v="33"/>
    <s v="South"/>
    <s v="Kerala"/>
    <n v="233928"/>
    <n v="8"/>
    <n v="0.1"/>
    <n v="26219.37"/>
    <s v="Net Banking"/>
    <x v="0"/>
    <x v="8"/>
  </r>
  <r>
    <s v="ORD10157"/>
    <d v="2024-10-23T00:00:00"/>
    <s v="Aarav Sharma"/>
    <s v="Technology"/>
    <s v="Printers"/>
    <x v="39"/>
    <s v="North"/>
    <s v="Punjab"/>
    <n v="159132.75"/>
    <n v="3"/>
    <n v="0.15"/>
    <n v="12692.8"/>
    <s v="UPI"/>
    <x v="0"/>
    <x v="2"/>
  </r>
  <r>
    <s v="ORD10158"/>
    <d v="2025-04-24T00:00:00"/>
    <s v="Vikram Patel"/>
    <s v="Furniture"/>
    <s v="Cabinets"/>
    <x v="38"/>
    <s v="North"/>
    <s v="Haryana"/>
    <n v="136648"/>
    <n v="8"/>
    <n v="0.05"/>
    <n v="32482.86"/>
    <s v="Credit Card"/>
    <x v="1"/>
    <x v="5"/>
  </r>
  <r>
    <s v="ORD10159"/>
    <d v="2025-08-04T00:00:00"/>
    <s v="Ananya Gupta"/>
    <s v="Technology"/>
    <s v="Monitors"/>
    <x v="16"/>
    <s v="South"/>
    <s v="Kerala"/>
    <n v="217323"/>
    <n v="5"/>
    <n v="0.1"/>
    <n v="46323.17"/>
    <s v="Credit Card"/>
    <x v="1"/>
    <x v="9"/>
  </r>
  <r>
    <s v="ORD10160"/>
    <d v="2024-09-11T00:00:00"/>
    <s v="Aarav Sharma"/>
    <s v="Office Supplies"/>
    <s v="Staplers"/>
    <x v="21"/>
    <s v="West"/>
    <s v="Rajasthan"/>
    <n v="5692.4"/>
    <n v="7"/>
    <n v="0.05"/>
    <n v="927.81"/>
    <s v="Debit Card"/>
    <x v="0"/>
    <x v="10"/>
  </r>
  <r>
    <s v="ORD10161"/>
    <d v="2024-03-04T00:00:00"/>
    <s v="Priya Singh"/>
    <s v="Furniture"/>
    <s v="Desks"/>
    <x v="17"/>
    <s v="West"/>
    <s v="Rajasthan"/>
    <n v="5283"/>
    <n v="5"/>
    <n v="0.1"/>
    <n v="1022.54"/>
    <s v="Cash"/>
    <x v="0"/>
    <x v="8"/>
  </r>
  <r>
    <s v="ORD10162"/>
    <d v="2024-05-16T00:00:00"/>
    <s v="Neha Yadav"/>
    <s v="Furniture"/>
    <s v="Desks"/>
    <x v="36"/>
    <s v="West"/>
    <s v="Rajasthan"/>
    <n v="16747.2"/>
    <n v="2"/>
    <n v="0.2"/>
    <n v="1242.1400000000001"/>
    <s v="Credit Card"/>
    <x v="0"/>
    <x v="7"/>
  </r>
  <r>
    <s v="ORD10163"/>
    <d v="2024-03-24T00:00:00"/>
    <s v="Aditya Mehta"/>
    <s v="Furniture"/>
    <s v="Cabinets"/>
    <x v="9"/>
    <s v="East"/>
    <s v="Jharkhand"/>
    <n v="50918.400000000001"/>
    <n v="8"/>
    <n v="0.2"/>
    <n v="10419.280000000001"/>
    <s v="Cash"/>
    <x v="0"/>
    <x v="8"/>
  </r>
  <r>
    <s v="ORD10164"/>
    <d v="2025-03-28T00:00:00"/>
    <s v="Priya Singh"/>
    <s v="Office Supplies"/>
    <s v="Pens"/>
    <x v="30"/>
    <s v="North"/>
    <s v="Delhi"/>
    <n v="2782.8"/>
    <n v="4"/>
    <n v="0.1"/>
    <n v="628.63"/>
    <s v="Credit Card"/>
    <x v="1"/>
    <x v="8"/>
  </r>
  <r>
    <s v="ORD10165"/>
    <d v="2025-04-12T00:00:00"/>
    <s v="Pooja Mishra"/>
    <s v="Office Supplies"/>
    <s v="Storage Boxes"/>
    <x v="18"/>
    <s v="West"/>
    <s v="Maharashtra"/>
    <n v="14873.2"/>
    <n v="8"/>
    <n v="0.05"/>
    <n v="2530.67"/>
    <s v="UPI"/>
    <x v="1"/>
    <x v="5"/>
  </r>
  <r>
    <s v="ORD10166"/>
    <d v="2025-03-09T00:00:00"/>
    <s v="Sneha Joshi"/>
    <s v="Office Supplies"/>
    <s v="Staplers"/>
    <x v="7"/>
    <s v="East"/>
    <s v="West Bengal"/>
    <n v="3968"/>
    <n v="5"/>
    <n v="0.2"/>
    <n v="177"/>
    <s v="UPI"/>
    <x v="1"/>
    <x v="8"/>
  </r>
  <r>
    <s v="ORD10167"/>
    <d v="2025-01-26T00:00:00"/>
    <s v="Neha Yadav"/>
    <s v="Office Supplies"/>
    <s v="Paper"/>
    <x v="0"/>
    <s v="North"/>
    <s v="Uttar Pradesh"/>
    <n v="2779.5"/>
    <n v="5"/>
    <n v="0.15"/>
    <n v="326.29000000000002"/>
    <s v="Cash"/>
    <x v="1"/>
    <x v="6"/>
  </r>
  <r>
    <s v="ORD10168"/>
    <d v="2024-08-16T00:00:00"/>
    <s v="Aarav Sharma"/>
    <s v="Furniture"/>
    <s v="Chairs"/>
    <x v="5"/>
    <s v="South"/>
    <s v="Telangana"/>
    <n v="38985.15"/>
    <n v="3"/>
    <n v="0.05"/>
    <n v="8306.6299999999992"/>
    <s v="UPI"/>
    <x v="0"/>
    <x v="9"/>
  </r>
  <r>
    <s v="ORD10169"/>
    <d v="2024-04-25T00:00:00"/>
    <s v="Aarav Sharma"/>
    <s v="Furniture"/>
    <s v="Tables"/>
    <x v="26"/>
    <s v="West"/>
    <s v="Goa"/>
    <n v="43711.199999999997"/>
    <n v="4"/>
    <n v="0.1"/>
    <n v="4051.86"/>
    <s v="Cash"/>
    <x v="0"/>
    <x v="5"/>
  </r>
  <r>
    <s v="ORD10170"/>
    <d v="2024-02-19T00:00:00"/>
    <s v="Ananya Gupta"/>
    <s v="Office Supplies"/>
    <s v="Paper"/>
    <x v="0"/>
    <s v="South"/>
    <s v="Tamil Nadu"/>
    <n v="3084.8"/>
    <n v="2"/>
    <n v="0.2"/>
    <n v="507.16"/>
    <s v="UPI"/>
    <x v="0"/>
    <x v="0"/>
  </r>
  <r>
    <s v="ORD10171"/>
    <d v="2025-09-04T00:00:00"/>
    <s v="Sneha Joshi"/>
    <s v="Furniture"/>
    <s v="Tables"/>
    <x v="26"/>
    <s v="South"/>
    <s v="Tamil Nadu"/>
    <n v="24667.200000000001"/>
    <n v="3"/>
    <n v="0.2"/>
    <n v="2313.31"/>
    <s v="Credit Card"/>
    <x v="1"/>
    <x v="10"/>
  </r>
  <r>
    <s v="ORD10172"/>
    <d v="2024-12-18T00:00:00"/>
    <s v="Rohan Khan"/>
    <s v="Furniture"/>
    <s v="Desks"/>
    <x v="17"/>
    <s v="South"/>
    <s v="Kerala"/>
    <n v="26152"/>
    <n v="5"/>
    <n v="0.2"/>
    <n v="3376.85"/>
    <s v="Net Banking"/>
    <x v="0"/>
    <x v="3"/>
  </r>
  <r>
    <s v="ORD10173"/>
    <d v="2025-12-25T00:00:00"/>
    <s v="Rahul Verma"/>
    <s v="Furniture"/>
    <s v="Tables"/>
    <x v="31"/>
    <s v="West"/>
    <s v="Gujarat"/>
    <n v="108501.4"/>
    <n v="7"/>
    <n v="0.05"/>
    <n v="13849.91"/>
    <s v="Cash"/>
    <x v="1"/>
    <x v="3"/>
  </r>
  <r>
    <s v="ORD10174"/>
    <d v="2024-03-21T00:00:00"/>
    <s v="Neha Yadav"/>
    <s v="Technology"/>
    <s v="Printers"/>
    <x v="33"/>
    <s v="West"/>
    <s v="Goa"/>
    <n v="75966.75"/>
    <n v="3"/>
    <n v="0.05"/>
    <n v="10145.56"/>
    <s v="Debit Card"/>
    <x v="0"/>
    <x v="8"/>
  </r>
  <r>
    <s v="ORD10175"/>
    <d v="2025-08-24T00:00:00"/>
    <s v="Aditya Mehta"/>
    <s v="Technology"/>
    <s v="Printers"/>
    <x v="39"/>
    <s v="South"/>
    <s v="Karnataka"/>
    <n v="301570.84999999998"/>
    <n v="7"/>
    <n v="0.05"/>
    <n v="68887.87"/>
    <s v="Credit Card"/>
    <x v="1"/>
    <x v="9"/>
  </r>
  <r>
    <s v="ORD10176"/>
    <d v="2025-12-13T00:00:00"/>
    <s v="Pooja Mishra"/>
    <s v="Furniture"/>
    <s v="Desks"/>
    <x v="2"/>
    <s v="East"/>
    <s v="Bihar"/>
    <n v="23888.400000000001"/>
    <n v="4"/>
    <n v="0.15"/>
    <n v="5384.16"/>
    <s v="Credit Card"/>
    <x v="1"/>
    <x v="3"/>
  </r>
  <r>
    <s v="ORD10177"/>
    <d v="2025-05-24T00:00:00"/>
    <s v="Neha Yadav"/>
    <s v="Furniture"/>
    <s v="Desks"/>
    <x v="17"/>
    <s v="East"/>
    <s v="Bihar"/>
    <n v="90518.399999999994"/>
    <n v="8"/>
    <n v="0.1"/>
    <n v="11489.4"/>
    <s v="UPI"/>
    <x v="1"/>
    <x v="7"/>
  </r>
  <r>
    <s v="ORD10178"/>
    <d v="2024-01-17T00:00:00"/>
    <s v="Vikram Patel"/>
    <s v="Office Supplies"/>
    <s v="Staplers"/>
    <x v="7"/>
    <s v="East"/>
    <s v="Odisha"/>
    <n v="13702.8"/>
    <n v="6"/>
    <n v="0.05"/>
    <n v="2956.39"/>
    <s v="Net Banking"/>
    <x v="0"/>
    <x v="6"/>
  </r>
  <r>
    <s v="ORD10179"/>
    <d v="2025-05-26T00:00:00"/>
    <s v="Aditya Mehta"/>
    <s v="Office Supplies"/>
    <s v="Storage Boxes"/>
    <x v="14"/>
    <s v="West"/>
    <s v="Rajasthan"/>
    <n v="5296"/>
    <n v="4"/>
    <n v="0.2"/>
    <n v="1041.58"/>
    <s v="Debit Card"/>
    <x v="1"/>
    <x v="7"/>
  </r>
  <r>
    <s v="ORD10180"/>
    <d v="2025-07-09T00:00:00"/>
    <s v="Aarav Sharma"/>
    <s v="Furniture"/>
    <s v="Tables"/>
    <x v="26"/>
    <s v="West"/>
    <s v="Goa"/>
    <n v="27468.6"/>
    <n v="6"/>
    <n v="0.15"/>
    <n v="2178.52"/>
    <s v="Net Banking"/>
    <x v="1"/>
    <x v="4"/>
  </r>
  <r>
    <s v="ORD10181"/>
    <d v="2025-06-01T00:00:00"/>
    <s v="Neha Yadav"/>
    <s v="Technology"/>
    <s v="Laptops"/>
    <x v="12"/>
    <s v="North"/>
    <s v="Delhi"/>
    <n v="160788.45000000001"/>
    <n v="3"/>
    <n v="0.05"/>
    <n v="11147.19"/>
    <s v="Debit Card"/>
    <x v="1"/>
    <x v="1"/>
  </r>
  <r>
    <s v="ORD10182"/>
    <d v="2024-10-08T00:00:00"/>
    <s v="Aditya Mehta"/>
    <s v="Technology"/>
    <s v="Printers"/>
    <x v="35"/>
    <s v="West"/>
    <s v="Goa"/>
    <n v="36079"/>
    <n v="1"/>
    <n v="0"/>
    <n v="6706.49"/>
    <s v="Debit Card"/>
    <x v="0"/>
    <x v="2"/>
  </r>
  <r>
    <s v="ORD10183"/>
    <d v="2024-09-15T00:00:00"/>
    <s v="Sneha Joshi"/>
    <s v="Technology"/>
    <s v="Printers"/>
    <x v="35"/>
    <s v="West"/>
    <s v="Gujarat"/>
    <n v="67575.399999999994"/>
    <n v="2"/>
    <n v="0.05"/>
    <n v="12937.73"/>
    <s v="Debit Card"/>
    <x v="0"/>
    <x v="10"/>
  </r>
  <r>
    <s v="ORD10184"/>
    <d v="2025-10-27T00:00:00"/>
    <s v="Aarav Sharma"/>
    <s v="Furniture"/>
    <s v="Chairs"/>
    <x v="25"/>
    <s v="East"/>
    <s v="Jharkhand"/>
    <n v="32800"/>
    <n v="4"/>
    <n v="0"/>
    <n v="6912.51"/>
    <s v="UPI"/>
    <x v="1"/>
    <x v="2"/>
  </r>
  <r>
    <s v="ORD10185"/>
    <d v="2025-10-22T00:00:00"/>
    <s v="Sneha Joshi"/>
    <s v="Furniture"/>
    <s v="Tables"/>
    <x v="26"/>
    <s v="West"/>
    <s v="Goa"/>
    <n v="5452.75"/>
    <n v="1"/>
    <n v="0.15"/>
    <n v="1153.6199999999999"/>
    <s v="Net Banking"/>
    <x v="1"/>
    <x v="2"/>
  </r>
  <r>
    <s v="ORD10186"/>
    <d v="2025-07-31T00:00:00"/>
    <s v="Aarav Sharma"/>
    <s v="Technology"/>
    <s v="Printers"/>
    <x v="35"/>
    <s v="North"/>
    <s v="Punjab"/>
    <n v="136555.20000000001"/>
    <n v="8"/>
    <n v="0.1"/>
    <n v="32071.67"/>
    <s v="Credit Card"/>
    <x v="1"/>
    <x v="4"/>
  </r>
  <r>
    <s v="ORD10187"/>
    <d v="2025-08-03T00:00:00"/>
    <s v="Rohan Khan"/>
    <s v="Furniture"/>
    <s v="Chairs"/>
    <x v="23"/>
    <s v="South"/>
    <s v="Tamil Nadu"/>
    <n v="22084.65"/>
    <n v="7"/>
    <n v="0.05"/>
    <n v="3981.68"/>
    <s v="Net Banking"/>
    <x v="1"/>
    <x v="9"/>
  </r>
  <r>
    <s v="ORD10188"/>
    <d v="2024-12-14T00:00:00"/>
    <s v="Pooja Mishra"/>
    <s v="Furniture"/>
    <s v="Tables"/>
    <x v="24"/>
    <s v="South"/>
    <s v="Karnataka"/>
    <n v="22800"/>
    <n v="6"/>
    <n v="0.05"/>
    <n v="5363.36"/>
    <s v="Net Banking"/>
    <x v="0"/>
    <x v="3"/>
  </r>
  <r>
    <s v="ORD10189"/>
    <d v="2025-01-19T00:00:00"/>
    <s v="Rohan Khan"/>
    <s v="Office Supplies"/>
    <s v="Staplers"/>
    <x v="29"/>
    <s v="East"/>
    <s v="West Bengal"/>
    <n v="10017.75"/>
    <n v="5"/>
    <n v="0.05"/>
    <n v="1389.08"/>
    <s v="Credit Card"/>
    <x v="1"/>
    <x v="6"/>
  </r>
  <r>
    <s v="ORD10190"/>
    <d v="2025-01-24T00:00:00"/>
    <s v="Rahul Verma"/>
    <s v="Office Supplies"/>
    <s v="Storage Boxes"/>
    <x v="18"/>
    <s v="West"/>
    <s v="Maharashtra"/>
    <n v="2005"/>
    <n v="5"/>
    <n v="0"/>
    <n v="267.86"/>
    <s v="Cash"/>
    <x v="1"/>
    <x v="6"/>
  </r>
  <r>
    <s v="ORD10191"/>
    <d v="2024-07-10T00:00:00"/>
    <s v="Rohan Khan"/>
    <s v="Furniture"/>
    <s v="Bookcases"/>
    <x v="19"/>
    <s v="North"/>
    <s v="Delhi"/>
    <n v="62965"/>
    <n v="5"/>
    <n v="0"/>
    <n v="6705.86"/>
    <s v="Cash"/>
    <x v="0"/>
    <x v="4"/>
  </r>
  <r>
    <s v="ORD10192"/>
    <d v="2025-02-27T00:00:00"/>
    <s v="Rohan Khan"/>
    <s v="Office Supplies"/>
    <s v="Storage Boxes"/>
    <x v="14"/>
    <s v="West"/>
    <s v="Maharashtra"/>
    <n v="2427.6"/>
    <n v="2"/>
    <n v="0.15"/>
    <n v="109.16"/>
    <s v="UPI"/>
    <x v="1"/>
    <x v="0"/>
  </r>
  <r>
    <s v="ORD10193"/>
    <d v="2024-05-29T00:00:00"/>
    <s v="Priya Singh"/>
    <s v="Office Supplies"/>
    <s v="Storage Boxes"/>
    <x v="18"/>
    <s v="South"/>
    <s v="Tamil Nadu"/>
    <n v="7566.3"/>
    <n v="7"/>
    <n v="0.1"/>
    <n v="822.32"/>
    <s v="Credit Card"/>
    <x v="0"/>
    <x v="7"/>
  </r>
  <r>
    <s v="ORD10194"/>
    <d v="2024-07-19T00:00:00"/>
    <s v="Neha Yadav"/>
    <s v="Furniture"/>
    <s v="Bookcases"/>
    <x v="27"/>
    <s v="West"/>
    <s v="Rajasthan"/>
    <n v="15379.9"/>
    <n v="2"/>
    <n v="0.15"/>
    <n v="2480.1799999999998"/>
    <s v="UPI"/>
    <x v="0"/>
    <x v="4"/>
  </r>
  <r>
    <s v="ORD10195"/>
    <d v="2025-10-28T00:00:00"/>
    <s v="Pooja Mishra"/>
    <s v="Technology"/>
    <s v="Monitors"/>
    <x v="11"/>
    <s v="North"/>
    <s v="Uttar Pradesh"/>
    <n v="339538.5"/>
    <n v="7"/>
    <n v="0.1"/>
    <n v="47916.77"/>
    <s v="Credit Card"/>
    <x v="1"/>
    <x v="2"/>
  </r>
  <r>
    <s v="ORD10196"/>
    <d v="2025-10-10T00:00:00"/>
    <s v="Neha Yadav"/>
    <s v="Furniture"/>
    <s v="Bookcases"/>
    <x v="27"/>
    <s v="South"/>
    <s v="Kerala"/>
    <n v="37392.300000000003"/>
    <n v="3"/>
    <n v="0.1"/>
    <n v="7552.31"/>
    <s v="Net Banking"/>
    <x v="1"/>
    <x v="2"/>
  </r>
  <r>
    <s v="ORD10197"/>
    <d v="2025-07-17T00:00:00"/>
    <s v="Aarav Sharma"/>
    <s v="Technology"/>
    <s v="Monitors"/>
    <x v="11"/>
    <s v="West"/>
    <s v="Rajasthan"/>
    <n v="49379.1"/>
    <n v="6"/>
    <n v="0.05"/>
    <n v="10065.56"/>
    <s v="Cash"/>
    <x v="1"/>
    <x v="4"/>
  </r>
  <r>
    <s v="ORD10198"/>
    <d v="2024-09-04T00:00:00"/>
    <s v="Vikram Patel"/>
    <s v="Office Supplies"/>
    <s v="Binders"/>
    <x v="22"/>
    <s v="West"/>
    <s v="Rajasthan"/>
    <n v="4075.5"/>
    <n v="2"/>
    <n v="0.05"/>
    <n v="791.33"/>
    <s v="Credit Card"/>
    <x v="0"/>
    <x v="10"/>
  </r>
  <r>
    <s v="ORD10199"/>
    <d v="2025-12-09T00:00:00"/>
    <s v="Rohan Khan"/>
    <s v="Office Supplies"/>
    <s v="Staplers"/>
    <x v="7"/>
    <s v="West"/>
    <s v="Maharashtra"/>
    <n v="14643.2"/>
    <n v="8"/>
    <n v="0.2"/>
    <n v="3143.88"/>
    <s v="Net Banking"/>
    <x v="1"/>
    <x v="3"/>
  </r>
  <r>
    <s v="ORD10200"/>
    <d v="2024-12-05T00:00:00"/>
    <s v="Rohan Khan"/>
    <s v="Technology"/>
    <s v="Monitors"/>
    <x v="20"/>
    <s v="North"/>
    <s v="Delhi"/>
    <n v="61715.1"/>
    <n v="6"/>
    <n v="0.15"/>
    <n v="14556.26"/>
    <s v="UPI"/>
    <x v="0"/>
    <x v="3"/>
  </r>
  <r>
    <s v="ORD10201"/>
    <d v="2025-08-25T00:00:00"/>
    <s v="Aditya Mehta"/>
    <s v="Technology"/>
    <s v="Laptops"/>
    <x v="43"/>
    <s v="East"/>
    <s v="Odisha"/>
    <n v="103407.6"/>
    <n v="4"/>
    <n v="0.15"/>
    <n v="20368.03"/>
    <s v="Credit Card"/>
    <x v="1"/>
    <x v="9"/>
  </r>
  <r>
    <s v="ORD10202"/>
    <d v="2024-12-17T00:00:00"/>
    <s v="Neha Yadav"/>
    <s v="Furniture"/>
    <s v="Chairs"/>
    <x v="25"/>
    <s v="West"/>
    <s v="Maharashtra"/>
    <n v="24026.45"/>
    <n v="7"/>
    <n v="0.05"/>
    <n v="3295.61"/>
    <s v="Credit Card"/>
    <x v="0"/>
    <x v="3"/>
  </r>
  <r>
    <s v="ORD10203"/>
    <d v="2025-12-28T00:00:00"/>
    <s v="Priya Singh"/>
    <s v="Office Supplies"/>
    <s v="Staplers"/>
    <x v="21"/>
    <s v="East"/>
    <s v="Jharkhand"/>
    <n v="11248"/>
    <n v="8"/>
    <n v="0"/>
    <n v="1575.31"/>
    <s v="UPI"/>
    <x v="1"/>
    <x v="3"/>
  </r>
  <r>
    <s v="ORD10204"/>
    <d v="2025-04-18T00:00:00"/>
    <s v="Ananya Gupta"/>
    <s v="Furniture"/>
    <s v="Chairs"/>
    <x v="23"/>
    <s v="South"/>
    <s v="Tamil Nadu"/>
    <n v="14512.8"/>
    <n v="3"/>
    <n v="0.2"/>
    <n v="1672.95"/>
    <s v="Cash"/>
    <x v="1"/>
    <x v="5"/>
  </r>
  <r>
    <s v="ORD10205"/>
    <d v="2024-01-05T00:00:00"/>
    <s v="Ananya Gupta"/>
    <s v="Office Supplies"/>
    <s v="Binders"/>
    <x v="4"/>
    <s v="South"/>
    <s v="Kerala"/>
    <n v="1552.8"/>
    <n v="1"/>
    <n v="0.2"/>
    <n v="179.99"/>
    <s v="Credit Card"/>
    <x v="0"/>
    <x v="6"/>
  </r>
  <r>
    <s v="ORD10206"/>
    <d v="2025-05-16T00:00:00"/>
    <s v="Aditya Mehta"/>
    <s v="Furniture"/>
    <s v="Chairs"/>
    <x v="25"/>
    <s v="North"/>
    <s v="Punjab"/>
    <n v="85282.2"/>
    <n v="6"/>
    <n v="0.1"/>
    <n v="16130.3"/>
    <s v="Debit Card"/>
    <x v="1"/>
    <x v="7"/>
  </r>
  <r>
    <s v="ORD10207"/>
    <d v="2025-08-27T00:00:00"/>
    <s v="Priya Singh"/>
    <s v="Office Supplies"/>
    <s v="Staplers"/>
    <x v="7"/>
    <s v="West"/>
    <s v="Maharashtra"/>
    <n v="4352.3999999999996"/>
    <n v="6"/>
    <n v="0.1"/>
    <n v="1039.08"/>
    <s v="Credit Card"/>
    <x v="1"/>
    <x v="9"/>
  </r>
  <r>
    <s v="ORD10208"/>
    <d v="2024-05-21T00:00:00"/>
    <s v="Pooja Mishra"/>
    <s v="Furniture"/>
    <s v="Chairs"/>
    <x v="5"/>
    <s v="South"/>
    <s v="Telangana"/>
    <n v="13851.6"/>
    <n v="3"/>
    <n v="0.15"/>
    <n v="1747.35"/>
    <s v="Cash"/>
    <x v="0"/>
    <x v="7"/>
  </r>
  <r>
    <s v="ORD10209"/>
    <d v="2025-04-06T00:00:00"/>
    <s v="Pooja Mishra"/>
    <s v="Furniture"/>
    <s v="Desks"/>
    <x v="36"/>
    <s v="West"/>
    <s v="Gujarat"/>
    <n v="29252.400000000001"/>
    <n v="3"/>
    <n v="0.05"/>
    <n v="3814.98"/>
    <s v="UPI"/>
    <x v="1"/>
    <x v="5"/>
  </r>
  <r>
    <s v="ORD10210"/>
    <d v="2025-03-01T00:00:00"/>
    <s v="Neha Yadav"/>
    <s v="Furniture"/>
    <s v="Chairs"/>
    <x v="5"/>
    <s v="West"/>
    <s v="Gujarat"/>
    <n v="103303.9"/>
    <n v="7"/>
    <n v="0.15"/>
    <n v="18536.78"/>
    <s v="Cash"/>
    <x v="1"/>
    <x v="8"/>
  </r>
  <r>
    <s v="ORD10211"/>
    <d v="2025-04-13T00:00:00"/>
    <s v="Pooja Mishra"/>
    <s v="Technology"/>
    <s v="Laptops"/>
    <x v="12"/>
    <s v="North"/>
    <s v="Punjab"/>
    <n v="17290.8"/>
    <n v="1"/>
    <n v="0.1"/>
    <n v="1532.69"/>
    <s v="Cash"/>
    <x v="1"/>
    <x v="5"/>
  </r>
  <r>
    <s v="ORD10212"/>
    <d v="2025-03-11T00:00:00"/>
    <s v="Priya Singh"/>
    <s v="Office Supplies"/>
    <s v="Storage Boxes"/>
    <x v="6"/>
    <s v="North"/>
    <s v="Delhi"/>
    <n v="9153.6"/>
    <n v="6"/>
    <n v="0.2"/>
    <n v="674.7"/>
    <s v="Credit Card"/>
    <x v="1"/>
    <x v="8"/>
  </r>
  <r>
    <s v="ORD10213"/>
    <d v="2025-08-25T00:00:00"/>
    <s v="Sneha Joshi"/>
    <s v="Furniture"/>
    <s v="Chairs"/>
    <x v="25"/>
    <s v="West"/>
    <s v="Rajasthan"/>
    <n v="8827.4"/>
    <n v="2"/>
    <n v="0.05"/>
    <n v="2027.13"/>
    <s v="Net Banking"/>
    <x v="1"/>
    <x v="9"/>
  </r>
  <r>
    <s v="ORD10214"/>
    <d v="2025-09-03T00:00:00"/>
    <s v="Aditya Mehta"/>
    <s v="Office Supplies"/>
    <s v="Staplers"/>
    <x v="21"/>
    <s v="South"/>
    <s v="Tamil Nadu"/>
    <n v="8766"/>
    <n v="4"/>
    <n v="0.1"/>
    <n v="1415.32"/>
    <s v="Credit Card"/>
    <x v="1"/>
    <x v="10"/>
  </r>
  <r>
    <s v="ORD10215"/>
    <d v="2024-05-09T00:00:00"/>
    <s v="Rahul Verma"/>
    <s v="Furniture"/>
    <s v="Bookcases"/>
    <x v="32"/>
    <s v="East"/>
    <s v="Bihar"/>
    <n v="25716.6"/>
    <n v="2"/>
    <n v="0.1"/>
    <n v="5873.92"/>
    <s v="Credit Card"/>
    <x v="0"/>
    <x v="7"/>
  </r>
  <r>
    <s v="ORD10216"/>
    <d v="2025-10-10T00:00:00"/>
    <s v="Priya Singh"/>
    <s v="Technology"/>
    <s v="Monitors"/>
    <x v="11"/>
    <s v="South"/>
    <s v="Kerala"/>
    <n v="99557.1"/>
    <n v="3"/>
    <n v="0.15"/>
    <n v="13230.97"/>
    <s v="Cash"/>
    <x v="1"/>
    <x v="2"/>
  </r>
  <r>
    <s v="ORD10217"/>
    <d v="2025-12-15T00:00:00"/>
    <s v="Sneha Joshi"/>
    <s v="Office Supplies"/>
    <s v="Pens"/>
    <x v="8"/>
    <s v="East"/>
    <s v="Jharkhand"/>
    <n v="2453.1"/>
    <n v="6"/>
    <n v="0.15"/>
    <n v="415.72"/>
    <s v="UPI"/>
    <x v="1"/>
    <x v="3"/>
  </r>
  <r>
    <s v="ORD10218"/>
    <d v="2024-05-13T00:00:00"/>
    <s v="Pooja Mishra"/>
    <s v="Office Supplies"/>
    <s v="Staplers"/>
    <x v="21"/>
    <s v="South"/>
    <s v="Kerala"/>
    <n v="9079.2000000000007"/>
    <n v="8"/>
    <n v="0.1"/>
    <n v="1493.18"/>
    <s v="Cash"/>
    <x v="0"/>
    <x v="7"/>
  </r>
  <r>
    <s v="ORD10219"/>
    <d v="2025-03-14T00:00:00"/>
    <s v="Ananya Gupta"/>
    <s v="Furniture"/>
    <s v="Chairs"/>
    <x v="23"/>
    <s v="North"/>
    <s v="Delhi"/>
    <n v="33122.800000000003"/>
    <n v="8"/>
    <n v="0.15"/>
    <n v="4431.95"/>
    <s v="Credit Card"/>
    <x v="1"/>
    <x v="8"/>
  </r>
  <r>
    <s v="ORD10220"/>
    <d v="2025-10-02T00:00:00"/>
    <s v="Vikram Patel"/>
    <s v="Office Supplies"/>
    <s v="Pens"/>
    <x v="30"/>
    <s v="South"/>
    <s v="Telangana"/>
    <n v="9251.1"/>
    <n v="6"/>
    <n v="0.05"/>
    <n v="720.27"/>
    <s v="Credit Card"/>
    <x v="1"/>
    <x v="2"/>
  </r>
  <r>
    <s v="ORD10221"/>
    <d v="2024-01-10T00:00:00"/>
    <s v="Aarav Sharma"/>
    <s v="Furniture"/>
    <s v="Chairs"/>
    <x v="5"/>
    <s v="North"/>
    <s v="Delhi"/>
    <n v="32947.199999999997"/>
    <n v="8"/>
    <n v="0.2"/>
    <n v="5469.12"/>
    <s v="Debit Card"/>
    <x v="0"/>
    <x v="6"/>
  </r>
  <r>
    <s v="ORD10222"/>
    <d v="2024-11-02T00:00:00"/>
    <s v="Rahul Verma"/>
    <s v="Technology"/>
    <s v="Keyboards"/>
    <x v="28"/>
    <s v="South"/>
    <s v="Kerala"/>
    <n v="105216"/>
    <n v="4"/>
    <n v="0"/>
    <n v="15011.2"/>
    <s v="Cash"/>
    <x v="0"/>
    <x v="11"/>
  </r>
  <r>
    <s v="ORD10223"/>
    <d v="2025-09-22T00:00:00"/>
    <s v="Neha Yadav"/>
    <s v="Technology"/>
    <s v="Smartphones"/>
    <x v="1"/>
    <s v="North"/>
    <s v="Delhi"/>
    <n v="85619.7"/>
    <n v="3"/>
    <n v="0.05"/>
    <n v="21531.54"/>
    <s v="Credit Card"/>
    <x v="1"/>
    <x v="10"/>
  </r>
  <r>
    <s v="ORD10224"/>
    <d v="2025-10-22T00:00:00"/>
    <s v="Priya Singh"/>
    <s v="Technology"/>
    <s v="Laptops"/>
    <x v="43"/>
    <s v="South"/>
    <s v="Karnataka"/>
    <n v="161182.70000000001"/>
    <n v="7"/>
    <n v="0.05"/>
    <n v="18867.61"/>
    <s v="Credit Card"/>
    <x v="1"/>
    <x v="2"/>
  </r>
  <r>
    <s v="ORD10225"/>
    <d v="2024-10-29T00:00:00"/>
    <s v="Aarav Sharma"/>
    <s v="Office Supplies"/>
    <s v="Storage Boxes"/>
    <x v="18"/>
    <s v="East"/>
    <s v="West Bengal"/>
    <n v="10388.25"/>
    <n v="5"/>
    <n v="0.05"/>
    <n v="2254.96"/>
    <s v="Credit Card"/>
    <x v="0"/>
    <x v="2"/>
  </r>
  <r>
    <s v="ORD10226"/>
    <d v="2025-08-05T00:00:00"/>
    <s v="Rohan Khan"/>
    <s v="Furniture"/>
    <s v="Tables"/>
    <x v="31"/>
    <s v="North"/>
    <s v="Punjab"/>
    <n v="2151"/>
    <n v="2"/>
    <n v="0.1"/>
    <n v="175.08"/>
    <s v="Debit Card"/>
    <x v="1"/>
    <x v="9"/>
  </r>
  <r>
    <s v="ORD10227"/>
    <d v="2025-02-11T00:00:00"/>
    <s v="Aditya Mehta"/>
    <s v="Office Supplies"/>
    <s v="Binders"/>
    <x v="34"/>
    <s v="West"/>
    <s v="Maharashtra"/>
    <n v="1966"/>
    <n v="2"/>
    <n v="0"/>
    <n v="520.04"/>
    <s v="Debit Card"/>
    <x v="1"/>
    <x v="0"/>
  </r>
  <r>
    <s v="ORD10228"/>
    <d v="2025-06-07T00:00:00"/>
    <s v="Ananya Gupta"/>
    <s v="Office Supplies"/>
    <s v="Storage Boxes"/>
    <x v="18"/>
    <s v="West"/>
    <s v="Goa"/>
    <n v="8652"/>
    <n v="7"/>
    <n v="0"/>
    <n v="1228.42"/>
    <s v="Credit Card"/>
    <x v="1"/>
    <x v="1"/>
  </r>
  <r>
    <s v="ORD10229"/>
    <d v="2025-03-20T00:00:00"/>
    <s v="Priya Singh"/>
    <s v="Office Supplies"/>
    <s v="Pens"/>
    <x v="8"/>
    <s v="West"/>
    <s v="Maharashtra"/>
    <n v="2241.0500000000002"/>
    <n v="7"/>
    <n v="0.05"/>
    <n v="189.91"/>
    <s v="Cash"/>
    <x v="1"/>
    <x v="8"/>
  </r>
  <r>
    <s v="ORD10230"/>
    <d v="2024-12-21T00:00:00"/>
    <s v="Aditya Mehta"/>
    <s v="Office Supplies"/>
    <s v="Storage Boxes"/>
    <x v="18"/>
    <s v="North"/>
    <s v="Haryana"/>
    <n v="1986"/>
    <n v="3"/>
    <n v="0"/>
    <n v="223.95"/>
    <s v="Net Banking"/>
    <x v="0"/>
    <x v="3"/>
  </r>
  <r>
    <s v="ORD10231"/>
    <d v="2024-10-05T00:00:00"/>
    <s v="Aditya Mehta"/>
    <s v="Office Supplies"/>
    <s v="Pens"/>
    <x v="30"/>
    <s v="South"/>
    <s v="Telangana"/>
    <n v="990"/>
    <n v="5"/>
    <n v="0.1"/>
    <n v="214.26"/>
    <s v="UPI"/>
    <x v="0"/>
    <x v="2"/>
  </r>
  <r>
    <s v="ORD10232"/>
    <d v="2024-09-18T00:00:00"/>
    <s v="Priya Singh"/>
    <s v="Furniture"/>
    <s v="Cabinets"/>
    <x v="38"/>
    <s v="North"/>
    <s v="Uttar Pradesh"/>
    <n v="97874.7"/>
    <n v="6"/>
    <n v="0.05"/>
    <n v="13804.01"/>
    <s v="Net Banking"/>
    <x v="0"/>
    <x v="10"/>
  </r>
  <r>
    <s v="ORD10233"/>
    <d v="2024-06-02T00:00:00"/>
    <s v="Rahul Verma"/>
    <s v="Office Supplies"/>
    <s v="Paper"/>
    <x v="0"/>
    <s v="South"/>
    <s v="Karnataka"/>
    <n v="1828.8"/>
    <n v="1"/>
    <n v="0.1"/>
    <n v="240.66"/>
    <s v="UPI"/>
    <x v="0"/>
    <x v="1"/>
  </r>
  <r>
    <s v="ORD10234"/>
    <d v="2024-05-02T00:00:00"/>
    <s v="Aditya Mehta"/>
    <s v="Office Supplies"/>
    <s v="Staplers"/>
    <x v="21"/>
    <s v="South"/>
    <s v="Telangana"/>
    <n v="8477"/>
    <n v="7"/>
    <n v="0"/>
    <n v="1647.14"/>
    <s v="UPI"/>
    <x v="0"/>
    <x v="7"/>
  </r>
  <r>
    <s v="ORD10235"/>
    <d v="2025-04-12T00:00:00"/>
    <s v="Aarav Sharma"/>
    <s v="Technology"/>
    <s v="Smartphones"/>
    <x v="10"/>
    <s v="North"/>
    <s v="Uttar Pradesh"/>
    <n v="417283.2"/>
    <n v="8"/>
    <n v="0.1"/>
    <n v="30160.02"/>
    <s v="Debit Card"/>
    <x v="1"/>
    <x v="5"/>
  </r>
  <r>
    <s v="ORD10236"/>
    <d v="2024-09-08T00:00:00"/>
    <s v="Rahul Verma"/>
    <s v="Technology"/>
    <s v="Monitors"/>
    <x v="11"/>
    <s v="East"/>
    <s v="Odisha"/>
    <n v="191889.6"/>
    <n v="6"/>
    <n v="0.2"/>
    <n v="34942.410000000003"/>
    <s v="UPI"/>
    <x v="0"/>
    <x v="10"/>
  </r>
  <r>
    <s v="ORD10237"/>
    <d v="2024-11-10T00:00:00"/>
    <s v="Priya Singh"/>
    <s v="Furniture"/>
    <s v="Chairs"/>
    <x v="23"/>
    <s v="South"/>
    <s v="Telangana"/>
    <n v="10010.450000000001"/>
    <n v="1"/>
    <n v="0.15"/>
    <n v="2125.23"/>
    <s v="Credit Card"/>
    <x v="0"/>
    <x v="11"/>
  </r>
  <r>
    <s v="ORD10238"/>
    <d v="2025-06-16T00:00:00"/>
    <s v="Rohan Khan"/>
    <s v="Office Supplies"/>
    <s v="Binders"/>
    <x v="34"/>
    <s v="West"/>
    <s v="Goa"/>
    <n v="1443"/>
    <n v="3"/>
    <n v="0"/>
    <n v="381.32"/>
    <s v="Debit Card"/>
    <x v="1"/>
    <x v="1"/>
  </r>
  <r>
    <s v="ORD10239"/>
    <d v="2024-09-24T00:00:00"/>
    <s v="Sneha Joshi"/>
    <s v="Furniture"/>
    <s v="Chairs"/>
    <x v="23"/>
    <s v="North"/>
    <s v="Punjab"/>
    <n v="18886"/>
    <n v="7"/>
    <n v="0.05"/>
    <n v="2169.14"/>
    <s v="Cash"/>
    <x v="0"/>
    <x v="10"/>
  </r>
  <r>
    <s v="ORD10240"/>
    <d v="2024-04-18T00:00:00"/>
    <s v="Rahul Verma"/>
    <s v="Office Supplies"/>
    <s v="Pens"/>
    <x v="8"/>
    <s v="East"/>
    <s v="Jharkhand"/>
    <n v="2102.4"/>
    <n v="4"/>
    <n v="0.2"/>
    <n v="108.89"/>
    <s v="Cash"/>
    <x v="0"/>
    <x v="5"/>
  </r>
  <r>
    <s v="ORD10241"/>
    <d v="2024-05-02T00:00:00"/>
    <s v="Priya Singh"/>
    <s v="Furniture"/>
    <s v="Bookcases"/>
    <x v="32"/>
    <s v="West"/>
    <s v="Maharashtra"/>
    <n v="41056.199999999997"/>
    <n v="6"/>
    <n v="0.1"/>
    <n v="6062.74"/>
    <s v="Credit Card"/>
    <x v="0"/>
    <x v="7"/>
  </r>
  <r>
    <s v="ORD10242"/>
    <d v="2025-11-24T00:00:00"/>
    <s v="Vikram Patel"/>
    <s v="Office Supplies"/>
    <s v="Pens"/>
    <x v="8"/>
    <s v="North"/>
    <s v="Punjab"/>
    <n v="3970.35"/>
    <n v="3"/>
    <n v="0.15"/>
    <n v="576.46"/>
    <s v="Debit Card"/>
    <x v="1"/>
    <x v="11"/>
  </r>
  <r>
    <s v="ORD10243"/>
    <d v="2024-03-04T00:00:00"/>
    <s v="Ananya Gupta"/>
    <s v="Technology"/>
    <s v="Laptops"/>
    <x v="43"/>
    <s v="West"/>
    <s v="Goa"/>
    <n v="28146.6"/>
    <n v="4"/>
    <n v="0.05"/>
    <n v="2583.59"/>
    <s v="Credit Card"/>
    <x v="0"/>
    <x v="8"/>
  </r>
  <r>
    <s v="ORD10244"/>
    <d v="2025-10-23T00:00:00"/>
    <s v="Neha Yadav"/>
    <s v="Technology"/>
    <s v="Keyboards"/>
    <x v="3"/>
    <s v="East"/>
    <s v="West Bengal"/>
    <n v="306620"/>
    <n v="5"/>
    <n v="0"/>
    <n v="36656.44"/>
    <s v="Credit Card"/>
    <x v="1"/>
    <x v="2"/>
  </r>
  <r>
    <s v="ORD10245"/>
    <d v="2025-11-30T00:00:00"/>
    <s v="Rohan Khan"/>
    <s v="Technology"/>
    <s v="Monitors"/>
    <x v="11"/>
    <s v="North"/>
    <s v="Delhi"/>
    <n v="10377.65"/>
    <n v="1"/>
    <n v="0.15"/>
    <n v="502.24"/>
    <s v="Credit Card"/>
    <x v="1"/>
    <x v="11"/>
  </r>
  <r>
    <s v="ORD10246"/>
    <d v="2024-09-08T00:00:00"/>
    <s v="Vikram Patel"/>
    <s v="Furniture"/>
    <s v="Desks"/>
    <x v="17"/>
    <s v="South"/>
    <s v="Telangana"/>
    <n v="36288"/>
    <n v="8"/>
    <n v="0.2"/>
    <n v="5582.38"/>
    <s v="Cash"/>
    <x v="0"/>
    <x v="10"/>
  </r>
  <r>
    <s v="ORD10247"/>
    <d v="2025-06-22T00:00:00"/>
    <s v="Ananya Gupta"/>
    <s v="Furniture"/>
    <s v="Cabinets"/>
    <x v="40"/>
    <s v="West"/>
    <s v="Maharashtra"/>
    <n v="25156"/>
    <n v="5"/>
    <n v="0.05"/>
    <n v="4931.34"/>
    <s v="Net Banking"/>
    <x v="1"/>
    <x v="1"/>
  </r>
  <r>
    <s v="ORD10248"/>
    <d v="2024-01-27T00:00:00"/>
    <s v="Sneha Joshi"/>
    <s v="Technology"/>
    <s v="Keyboards"/>
    <x v="3"/>
    <s v="East"/>
    <s v="Jharkhand"/>
    <n v="161472.79999999999"/>
    <n v="8"/>
    <n v="0.15"/>
    <n v="15596.2"/>
    <s v="Net Banking"/>
    <x v="0"/>
    <x v="6"/>
  </r>
  <r>
    <s v="ORD10249"/>
    <d v="2024-09-03T00:00:00"/>
    <s v="Vikram Patel"/>
    <s v="Technology"/>
    <s v="Laptops"/>
    <x v="12"/>
    <s v="East"/>
    <s v="West Bengal"/>
    <n v="308730"/>
    <n v="6"/>
    <n v="0"/>
    <n v="40002.58"/>
    <s v="Net Banking"/>
    <x v="0"/>
    <x v="10"/>
  </r>
  <r>
    <s v="ORD10250"/>
    <d v="2024-01-29T00:00:00"/>
    <s v="Sneha Joshi"/>
    <s v="Office Supplies"/>
    <s v="Paper"/>
    <x v="37"/>
    <s v="South"/>
    <s v="Kerala"/>
    <n v="3785.4"/>
    <n v="3"/>
    <n v="0.1"/>
    <n v="900.15"/>
    <s v="Net Banking"/>
    <x v="0"/>
    <x v="6"/>
  </r>
  <r>
    <s v="ORD10251"/>
    <d v="2025-09-08T00:00:00"/>
    <s v="Ananya Gupta"/>
    <s v="Office Supplies"/>
    <s v="Binders"/>
    <x v="22"/>
    <s v="South"/>
    <s v="Kerala"/>
    <n v="1275"/>
    <n v="5"/>
    <n v="0"/>
    <n v="116.32"/>
    <s v="UPI"/>
    <x v="1"/>
    <x v="10"/>
  </r>
  <r>
    <s v="ORD10252"/>
    <d v="2024-11-27T00:00:00"/>
    <s v="Aarav Sharma"/>
    <s v="Office Supplies"/>
    <s v="Staplers"/>
    <x v="29"/>
    <s v="North"/>
    <s v="Haryana"/>
    <n v="5681"/>
    <n v="4"/>
    <n v="0.05"/>
    <n v="1427.39"/>
    <s v="UPI"/>
    <x v="0"/>
    <x v="11"/>
  </r>
  <r>
    <s v="ORD10253"/>
    <d v="2024-12-10T00:00:00"/>
    <s v="Vikram Patel"/>
    <s v="Technology"/>
    <s v="Printers"/>
    <x v="33"/>
    <s v="South"/>
    <s v="Karnataka"/>
    <n v="327170.09999999998"/>
    <n v="6"/>
    <n v="0.15"/>
    <n v="52250.16"/>
    <s v="Debit Card"/>
    <x v="0"/>
    <x v="3"/>
  </r>
  <r>
    <s v="ORD10254"/>
    <d v="2025-01-22T00:00:00"/>
    <s v="Vikram Patel"/>
    <s v="Technology"/>
    <s v="Smartphones"/>
    <x v="1"/>
    <s v="West"/>
    <s v="Goa"/>
    <n v="60556.800000000003"/>
    <n v="6"/>
    <n v="0.2"/>
    <n v="11680.85"/>
    <s v="Debit Card"/>
    <x v="1"/>
    <x v="6"/>
  </r>
  <r>
    <s v="ORD10255"/>
    <d v="2025-05-23T00:00:00"/>
    <s v="Rahul Verma"/>
    <s v="Technology"/>
    <s v="Smartphones"/>
    <x v="1"/>
    <s v="North"/>
    <s v="Uttar Pradesh"/>
    <n v="10505.6"/>
    <n v="1"/>
    <n v="0.2"/>
    <n v="533.91999999999996"/>
    <s v="Debit Card"/>
    <x v="1"/>
    <x v="7"/>
  </r>
  <r>
    <s v="ORD10256"/>
    <d v="2024-08-02T00:00:00"/>
    <s v="Ananya Gupta"/>
    <s v="Office Supplies"/>
    <s v="Paper"/>
    <x v="37"/>
    <s v="South"/>
    <s v="Telangana"/>
    <n v="3761.25"/>
    <n v="3"/>
    <n v="0.15"/>
    <n v="168.43"/>
    <s v="UPI"/>
    <x v="0"/>
    <x v="9"/>
  </r>
  <r>
    <s v="ORD10257"/>
    <d v="2025-01-22T00:00:00"/>
    <s v="Sneha Joshi"/>
    <s v="Furniture"/>
    <s v="Bookcases"/>
    <x v="19"/>
    <s v="North"/>
    <s v="Delhi"/>
    <n v="86578.45"/>
    <n v="7"/>
    <n v="0.15"/>
    <n v="12217.64"/>
    <s v="Net Banking"/>
    <x v="1"/>
    <x v="6"/>
  </r>
  <r>
    <s v="ORD10258"/>
    <d v="2024-04-17T00:00:00"/>
    <s v="Priya Singh"/>
    <s v="Furniture"/>
    <s v="Chairs"/>
    <x v="5"/>
    <s v="West"/>
    <s v="Gujarat"/>
    <n v="15152"/>
    <n v="8"/>
    <n v="0"/>
    <n v="2178"/>
    <s v="Debit Card"/>
    <x v="0"/>
    <x v="5"/>
  </r>
  <r>
    <s v="ORD10259"/>
    <d v="2024-06-17T00:00:00"/>
    <s v="Pooja Mishra"/>
    <s v="Technology"/>
    <s v="Keyboards"/>
    <x v="3"/>
    <s v="South"/>
    <s v="Karnataka"/>
    <n v="39689.9"/>
    <n v="2"/>
    <n v="0.15"/>
    <n v="9167.91"/>
    <s v="Cash"/>
    <x v="0"/>
    <x v="1"/>
  </r>
  <r>
    <s v="ORD10260"/>
    <d v="2024-02-20T00:00:00"/>
    <s v="Rohan Khan"/>
    <s v="Technology"/>
    <s v="Laptops"/>
    <x v="44"/>
    <s v="North"/>
    <s v="Haryana"/>
    <n v="100879.2"/>
    <n v="4"/>
    <n v="0.1"/>
    <n v="10341.09"/>
    <s v="Net Banking"/>
    <x v="0"/>
    <x v="0"/>
  </r>
  <r>
    <s v="ORD10261"/>
    <d v="2024-04-09T00:00:00"/>
    <s v="Aarav Sharma"/>
    <s v="Office Supplies"/>
    <s v="Staplers"/>
    <x v="7"/>
    <s v="South"/>
    <s v="Karnataka"/>
    <n v="1044.8"/>
    <n v="1"/>
    <n v="0.2"/>
    <n v="131.71"/>
    <s v="Credit Card"/>
    <x v="0"/>
    <x v="5"/>
  </r>
  <r>
    <s v="ORD10262"/>
    <d v="2024-09-28T00:00:00"/>
    <s v="Priya Singh"/>
    <s v="Technology"/>
    <s v="Monitors"/>
    <x v="20"/>
    <s v="North"/>
    <s v="Uttar Pradesh"/>
    <n v="223707.25"/>
    <n v="5"/>
    <n v="0.15"/>
    <n v="49545.67"/>
    <s v="Net Banking"/>
    <x v="0"/>
    <x v="10"/>
  </r>
  <r>
    <s v="ORD10263"/>
    <d v="2024-08-19T00:00:00"/>
    <s v="Vikram Patel"/>
    <s v="Furniture"/>
    <s v="Desks"/>
    <x v="17"/>
    <s v="East"/>
    <s v="Jharkhand"/>
    <n v="5768.1"/>
    <n v="3"/>
    <n v="0.15"/>
    <n v="781.64"/>
    <s v="Net Banking"/>
    <x v="0"/>
    <x v="9"/>
  </r>
  <r>
    <s v="ORD10264"/>
    <d v="2025-01-31T00:00:00"/>
    <s v="Aditya Mehta"/>
    <s v="Technology"/>
    <s v="Smartphones"/>
    <x v="1"/>
    <s v="North"/>
    <s v="Delhi"/>
    <n v="259987.20000000001"/>
    <n v="6"/>
    <n v="0.2"/>
    <n v="10970.61"/>
    <s v="Cash"/>
    <x v="1"/>
    <x v="6"/>
  </r>
  <r>
    <s v="ORD10265"/>
    <d v="2025-08-08T00:00:00"/>
    <s v="Pooja Mishra"/>
    <s v="Office Supplies"/>
    <s v="Staplers"/>
    <x v="7"/>
    <s v="South"/>
    <s v="Kerala"/>
    <n v="3449.6"/>
    <n v="2"/>
    <n v="0.2"/>
    <n v="724.73"/>
    <s v="Credit Card"/>
    <x v="1"/>
    <x v="9"/>
  </r>
  <r>
    <s v="ORD10266"/>
    <d v="2025-03-21T00:00:00"/>
    <s v="Ananya Gupta"/>
    <s v="Technology"/>
    <s v="Keyboards"/>
    <x v="28"/>
    <s v="South"/>
    <s v="Tamil Nadu"/>
    <n v="37876"/>
    <n v="4"/>
    <n v="0"/>
    <n v="10516.5"/>
    <s v="Credit Card"/>
    <x v="1"/>
    <x v="8"/>
  </r>
  <r>
    <s v="ORD10267"/>
    <d v="2025-06-16T00:00:00"/>
    <s v="Neha Yadav"/>
    <s v="Office Supplies"/>
    <s v="Pens"/>
    <x v="30"/>
    <s v="East"/>
    <s v="West Bengal"/>
    <n v="14874.3"/>
    <n v="7"/>
    <n v="0.1"/>
    <n v="3366.42"/>
    <s v="UPI"/>
    <x v="1"/>
    <x v="1"/>
  </r>
  <r>
    <s v="ORD10268"/>
    <d v="2024-10-19T00:00:00"/>
    <s v="Aditya Mehta"/>
    <s v="Office Supplies"/>
    <s v="Storage Boxes"/>
    <x v="6"/>
    <s v="West"/>
    <s v="Maharashtra"/>
    <n v="1276.8"/>
    <n v="3"/>
    <n v="0.2"/>
    <n v="237.37"/>
    <s v="Debit Card"/>
    <x v="0"/>
    <x v="2"/>
  </r>
  <r>
    <s v="ORD10269"/>
    <d v="2025-09-15T00:00:00"/>
    <s v="Rohan Khan"/>
    <s v="Furniture"/>
    <s v="Bookcases"/>
    <x v="32"/>
    <s v="West"/>
    <s v="Goa"/>
    <n v="43805.599999999999"/>
    <n v="8"/>
    <n v="0.15"/>
    <n v="3122.05"/>
    <s v="UPI"/>
    <x v="1"/>
    <x v="10"/>
  </r>
  <r>
    <s v="ORD10270"/>
    <d v="2024-11-06T00:00:00"/>
    <s v="Vikram Patel"/>
    <s v="Furniture"/>
    <s v="Bookcases"/>
    <x v="32"/>
    <s v="South"/>
    <s v="Karnataka"/>
    <n v="76800"/>
    <n v="8"/>
    <n v="0"/>
    <n v="11333.62"/>
    <s v="Debit Card"/>
    <x v="0"/>
    <x v="11"/>
  </r>
  <r>
    <s v="ORD10271"/>
    <d v="2024-04-01T00:00:00"/>
    <s v="Ananya Gupta"/>
    <s v="Furniture"/>
    <s v="Chairs"/>
    <x v="25"/>
    <s v="South"/>
    <s v="Tamil Nadu"/>
    <n v="76935.199999999997"/>
    <n v="8"/>
    <n v="0.15"/>
    <n v="12578.58"/>
    <s v="Cash"/>
    <x v="0"/>
    <x v="5"/>
  </r>
  <r>
    <s v="ORD10272"/>
    <d v="2025-06-20T00:00:00"/>
    <s v="Pooja Mishra"/>
    <s v="Technology"/>
    <s v="Keyboards"/>
    <x v="28"/>
    <s v="West"/>
    <s v="Rajasthan"/>
    <n v="14025"/>
    <n v="3"/>
    <n v="0.15"/>
    <n v="976.56"/>
    <s v="UPI"/>
    <x v="1"/>
    <x v="1"/>
  </r>
  <r>
    <s v="ORD10273"/>
    <d v="2025-04-20T00:00:00"/>
    <s v="Aditya Mehta"/>
    <s v="Technology"/>
    <s v="Smartphones"/>
    <x v="10"/>
    <s v="South"/>
    <s v="Karnataka"/>
    <n v="29557.35"/>
    <n v="1"/>
    <n v="0.05"/>
    <n v="3614.73"/>
    <s v="Cash"/>
    <x v="1"/>
    <x v="5"/>
  </r>
  <r>
    <s v="ORD10274"/>
    <d v="2024-12-24T00:00:00"/>
    <s v="Sneha Joshi"/>
    <s v="Office Supplies"/>
    <s v="Paper"/>
    <x v="37"/>
    <s v="North"/>
    <s v="Punjab"/>
    <n v="5623.6"/>
    <n v="8"/>
    <n v="0.15"/>
    <n v="899.08"/>
    <s v="Credit Card"/>
    <x v="0"/>
    <x v="3"/>
  </r>
  <r>
    <s v="ORD10275"/>
    <d v="2024-10-02T00:00:00"/>
    <s v="Rohan Khan"/>
    <s v="Furniture"/>
    <s v="Chairs"/>
    <x v="25"/>
    <s v="East"/>
    <s v="West Bengal"/>
    <n v="7430.9"/>
    <n v="1"/>
    <n v="0.05"/>
    <n v="1508.76"/>
    <s v="Net Banking"/>
    <x v="0"/>
    <x v="2"/>
  </r>
  <r>
    <s v="ORD10276"/>
    <d v="2024-11-08T00:00:00"/>
    <s v="Vikram Patel"/>
    <s v="Technology"/>
    <s v="Laptops"/>
    <x v="43"/>
    <s v="West"/>
    <s v="Gujarat"/>
    <n v="109609.2"/>
    <n v="3"/>
    <n v="0.1"/>
    <n v="19364.52"/>
    <s v="Cash"/>
    <x v="0"/>
    <x v="11"/>
  </r>
  <r>
    <s v="ORD10277"/>
    <d v="2025-06-07T00:00:00"/>
    <s v="Sneha Joshi"/>
    <s v="Furniture"/>
    <s v="Bookcases"/>
    <x v="19"/>
    <s v="West"/>
    <s v="Rajasthan"/>
    <n v="114304"/>
    <n v="8"/>
    <n v="0.2"/>
    <n v="5768.06"/>
    <s v="Net Banking"/>
    <x v="1"/>
    <x v="1"/>
  </r>
  <r>
    <s v="ORD10278"/>
    <d v="2024-10-10T00:00:00"/>
    <s v="Vikram Patel"/>
    <s v="Office Supplies"/>
    <s v="Storage Boxes"/>
    <x v="18"/>
    <s v="East"/>
    <s v="Bihar"/>
    <n v="2658.6"/>
    <n v="2"/>
    <n v="0.1"/>
    <n v="486.84"/>
    <s v="Debit Card"/>
    <x v="0"/>
    <x v="2"/>
  </r>
  <r>
    <s v="ORD10279"/>
    <d v="2024-10-29T00:00:00"/>
    <s v="Vikram Patel"/>
    <s v="Technology"/>
    <s v="Smartphones"/>
    <x v="1"/>
    <s v="South"/>
    <s v="Karnataka"/>
    <n v="311416"/>
    <n v="7"/>
    <n v="0"/>
    <n v="65733.72"/>
    <s v="Cash"/>
    <x v="0"/>
    <x v="2"/>
  </r>
  <r>
    <s v="ORD10280"/>
    <d v="2024-06-23T00:00:00"/>
    <s v="Aditya Mehta"/>
    <s v="Furniture"/>
    <s v="Tables"/>
    <x v="31"/>
    <s v="North"/>
    <s v="Punjab"/>
    <n v="52441.599999999999"/>
    <n v="4"/>
    <n v="0.2"/>
    <n v="4721.79"/>
    <s v="Credit Card"/>
    <x v="0"/>
    <x v="1"/>
  </r>
  <r>
    <s v="ORD10281"/>
    <d v="2024-08-16T00:00:00"/>
    <s v="Vikram Patel"/>
    <s v="Furniture"/>
    <s v="Chairs"/>
    <x v="23"/>
    <s v="West"/>
    <s v="Gujarat"/>
    <n v="33990"/>
    <n v="5"/>
    <n v="0"/>
    <n v="4230.08"/>
    <s v="Cash"/>
    <x v="0"/>
    <x v="9"/>
  </r>
  <r>
    <s v="ORD10282"/>
    <d v="2024-03-13T00:00:00"/>
    <s v="Neha Yadav"/>
    <s v="Furniture"/>
    <s v="Bookcases"/>
    <x v="27"/>
    <s v="East"/>
    <s v="Bihar"/>
    <n v="4092.8"/>
    <n v="2"/>
    <n v="0.2"/>
    <n v="895.75"/>
    <s v="Credit Card"/>
    <x v="0"/>
    <x v="8"/>
  </r>
  <r>
    <s v="ORD10283"/>
    <d v="2025-08-06T00:00:00"/>
    <s v="Neha Yadav"/>
    <s v="Office Supplies"/>
    <s v="Paper"/>
    <x v="37"/>
    <s v="West"/>
    <s v="Rajasthan"/>
    <n v="628.9"/>
    <n v="1"/>
    <n v="0.05"/>
    <n v="85.55"/>
    <s v="Credit Card"/>
    <x v="1"/>
    <x v="9"/>
  </r>
  <r>
    <s v="ORD10284"/>
    <d v="2024-06-21T00:00:00"/>
    <s v="Pooja Mishra"/>
    <s v="Furniture"/>
    <s v="Desks"/>
    <x v="17"/>
    <s v="North"/>
    <s v="Uttar Pradesh"/>
    <n v="6885"/>
    <n v="3"/>
    <n v="0.15"/>
    <n v="669.26"/>
    <s v="Credit Card"/>
    <x v="0"/>
    <x v="1"/>
  </r>
  <r>
    <s v="ORD10285"/>
    <d v="2025-06-30T00:00:00"/>
    <s v="Ananya Gupta"/>
    <s v="Furniture"/>
    <s v="Chairs"/>
    <x v="23"/>
    <s v="South"/>
    <s v="Kerala"/>
    <n v="88405.1"/>
    <n v="7"/>
    <n v="0.15"/>
    <n v="3839.77"/>
    <s v="Debit Card"/>
    <x v="1"/>
    <x v="1"/>
  </r>
  <r>
    <s v="ORD10286"/>
    <d v="2024-04-15T00:00:00"/>
    <s v="Rohan Khan"/>
    <s v="Technology"/>
    <s v="Monitors"/>
    <x v="16"/>
    <s v="South"/>
    <s v="Karnataka"/>
    <n v="38043"/>
    <n v="1"/>
    <n v="0.1"/>
    <n v="4466.95"/>
    <s v="Net Banking"/>
    <x v="0"/>
    <x v="5"/>
  </r>
  <r>
    <s v="ORD10287"/>
    <d v="2024-12-11T00:00:00"/>
    <s v="Rohan Khan"/>
    <s v="Office Supplies"/>
    <s v="Pens"/>
    <x v="30"/>
    <s v="South"/>
    <s v="Karnataka"/>
    <n v="7868"/>
    <n v="5"/>
    <n v="0.2"/>
    <n v="1174.49"/>
    <s v="Credit Card"/>
    <x v="0"/>
    <x v="3"/>
  </r>
  <r>
    <s v="ORD10288"/>
    <d v="2024-01-23T00:00:00"/>
    <s v="Pooja Mishra"/>
    <s v="Furniture"/>
    <s v="Tables"/>
    <x v="26"/>
    <s v="East"/>
    <s v="Odisha"/>
    <n v="55088.6"/>
    <n v="7"/>
    <n v="0.05"/>
    <n v="6045.32"/>
    <s v="Net Banking"/>
    <x v="0"/>
    <x v="6"/>
  </r>
  <r>
    <s v="ORD10289"/>
    <d v="2024-01-21T00:00:00"/>
    <s v="Aarav Sharma"/>
    <s v="Technology"/>
    <s v="Laptops"/>
    <x v="12"/>
    <s v="East"/>
    <s v="West Bengal"/>
    <n v="258720"/>
    <n v="5"/>
    <n v="0"/>
    <n v="54515.8"/>
    <s v="UPI"/>
    <x v="0"/>
    <x v="6"/>
  </r>
  <r>
    <s v="ORD10290"/>
    <d v="2025-11-08T00:00:00"/>
    <s v="Priya Singh"/>
    <s v="Furniture"/>
    <s v="Tables"/>
    <x v="24"/>
    <s v="West"/>
    <s v="Maharashtra"/>
    <n v="29085"/>
    <n v="5"/>
    <n v="0"/>
    <n v="4078.39"/>
    <s v="Net Banking"/>
    <x v="1"/>
    <x v="11"/>
  </r>
  <r>
    <s v="ORD10291"/>
    <d v="2024-07-23T00:00:00"/>
    <s v="Vikram Patel"/>
    <s v="Furniture"/>
    <s v="Cabinets"/>
    <x v="40"/>
    <s v="South"/>
    <s v="Kerala"/>
    <n v="7709.5"/>
    <n v="2"/>
    <n v="0.15"/>
    <n v="633.95000000000005"/>
    <s v="Net Banking"/>
    <x v="0"/>
    <x v="4"/>
  </r>
  <r>
    <s v="ORD10292"/>
    <d v="2024-01-03T00:00:00"/>
    <s v="Aarav Sharma"/>
    <s v="Technology"/>
    <s v="Monitors"/>
    <x v="20"/>
    <s v="West"/>
    <s v="Rajasthan"/>
    <n v="31553.7"/>
    <n v="1"/>
    <n v="0.15"/>
    <n v="3427.39"/>
    <s v="UPI"/>
    <x v="0"/>
    <x v="6"/>
  </r>
  <r>
    <s v="ORD10293"/>
    <d v="2024-10-30T00:00:00"/>
    <s v="Vikram Patel"/>
    <s v="Technology"/>
    <s v="Printers"/>
    <x v="35"/>
    <s v="West"/>
    <s v="Gujarat"/>
    <n v="92376.1"/>
    <n v="2"/>
    <n v="0.05"/>
    <n v="14673.97"/>
    <s v="Cash"/>
    <x v="0"/>
    <x v="2"/>
  </r>
  <r>
    <s v="ORD10294"/>
    <d v="2024-02-16T00:00:00"/>
    <s v="Aarav Sharma"/>
    <s v="Technology"/>
    <s v="Laptops"/>
    <x v="12"/>
    <s v="South"/>
    <s v="Karnataka"/>
    <n v="322398"/>
    <n v="6"/>
    <n v="0"/>
    <n v="31917.3"/>
    <s v="Credit Card"/>
    <x v="0"/>
    <x v="0"/>
  </r>
  <r>
    <s v="ORD10295"/>
    <d v="2025-02-14T00:00:00"/>
    <s v="Rohan Khan"/>
    <s v="Office Supplies"/>
    <s v="Binders"/>
    <x v="4"/>
    <s v="East"/>
    <s v="Bihar"/>
    <n v="7317"/>
    <n v="5"/>
    <n v="0.1"/>
    <n v="670.05"/>
    <s v="Cash"/>
    <x v="1"/>
    <x v="0"/>
  </r>
  <r>
    <s v="ORD10296"/>
    <d v="2025-08-27T00:00:00"/>
    <s v="Neha Yadav"/>
    <s v="Furniture"/>
    <s v="Tables"/>
    <x v="24"/>
    <s v="West"/>
    <s v="Goa"/>
    <n v="14654.7"/>
    <n v="3"/>
    <n v="0.05"/>
    <n v="1293.17"/>
    <s v="Net Banking"/>
    <x v="1"/>
    <x v="9"/>
  </r>
  <r>
    <s v="ORD10297"/>
    <d v="2025-02-25T00:00:00"/>
    <s v="Neha Yadav"/>
    <s v="Office Supplies"/>
    <s v="Staplers"/>
    <x v="7"/>
    <s v="South"/>
    <s v="Kerala"/>
    <n v="1766.3"/>
    <n v="1"/>
    <n v="0.15"/>
    <n v="114.96"/>
    <s v="UPI"/>
    <x v="1"/>
    <x v="0"/>
  </r>
  <r>
    <s v="ORD10298"/>
    <d v="2025-09-25T00:00:00"/>
    <s v="Priya Singh"/>
    <s v="Technology"/>
    <s v="Monitors"/>
    <x v="16"/>
    <s v="East"/>
    <s v="West Bengal"/>
    <n v="204275.20000000001"/>
    <n v="4"/>
    <n v="0.2"/>
    <n v="34246.400000000001"/>
    <s v="Cash"/>
    <x v="1"/>
    <x v="10"/>
  </r>
  <r>
    <s v="ORD10299"/>
    <d v="2025-04-25T00:00:00"/>
    <s v="Neha Yadav"/>
    <s v="Office Supplies"/>
    <s v="Binders"/>
    <x v="22"/>
    <s v="West"/>
    <s v="Rajasthan"/>
    <n v="977.55"/>
    <n v="7"/>
    <n v="0.05"/>
    <n v="164.83"/>
    <s v="Credit Card"/>
    <x v="1"/>
    <x v="5"/>
  </r>
  <r>
    <s v="ORD10300"/>
    <d v="2025-02-16T00:00:00"/>
    <s v="Ananya Gupta"/>
    <s v="Technology"/>
    <s v="Keyboards"/>
    <x v="15"/>
    <s v="East"/>
    <s v="Odisha"/>
    <n v="17996"/>
    <n v="5"/>
    <n v="0.2"/>
    <n v="2855.31"/>
    <s v="UPI"/>
    <x v="1"/>
    <x v="0"/>
  </r>
  <r>
    <s v="ORD10301"/>
    <d v="2025-02-26T00:00:00"/>
    <s v="Aarav Sharma"/>
    <s v="Furniture"/>
    <s v="Tables"/>
    <x v="31"/>
    <s v="West"/>
    <s v="Maharashtra"/>
    <n v="37512"/>
    <n v="8"/>
    <n v="0"/>
    <n v="3771.03"/>
    <s v="Net Banking"/>
    <x v="1"/>
    <x v="0"/>
  </r>
  <r>
    <s v="ORD10302"/>
    <d v="2024-08-16T00:00:00"/>
    <s v="Neha Yadav"/>
    <s v="Office Supplies"/>
    <s v="Paper"/>
    <x v="42"/>
    <s v="North"/>
    <s v="Haryana"/>
    <n v="5385.6"/>
    <n v="4"/>
    <n v="0.1"/>
    <n v="1185.17"/>
    <s v="Debit Card"/>
    <x v="0"/>
    <x v="9"/>
  </r>
  <r>
    <s v="ORD10303"/>
    <d v="2025-10-10T00:00:00"/>
    <s v="Vikram Patel"/>
    <s v="Office Supplies"/>
    <s v="Storage Boxes"/>
    <x v="18"/>
    <s v="West"/>
    <s v="Rajasthan"/>
    <n v="8064"/>
    <n v="8"/>
    <n v="0"/>
    <n v="1195.6600000000001"/>
    <s v="Net Banking"/>
    <x v="1"/>
    <x v="2"/>
  </r>
  <r>
    <s v="ORD10304"/>
    <d v="2024-07-11T00:00:00"/>
    <s v="Priya Singh"/>
    <s v="Office Supplies"/>
    <s v="Pens"/>
    <x v="30"/>
    <s v="North"/>
    <s v="Delhi"/>
    <n v="3873.6"/>
    <n v="8"/>
    <n v="0.1"/>
    <n v="686.29"/>
    <s v="Cash"/>
    <x v="0"/>
    <x v="4"/>
  </r>
  <r>
    <s v="ORD10305"/>
    <d v="2025-05-31T00:00:00"/>
    <s v="Rahul Verma"/>
    <s v="Technology"/>
    <s v="Keyboards"/>
    <x v="28"/>
    <s v="South"/>
    <s v="Telangana"/>
    <n v="25269.65"/>
    <n v="7"/>
    <n v="0.15"/>
    <n v="4401.75"/>
    <s v="Cash"/>
    <x v="1"/>
    <x v="7"/>
  </r>
  <r>
    <s v="ORD10306"/>
    <d v="2024-05-11T00:00:00"/>
    <s v="Priya Singh"/>
    <s v="Technology"/>
    <s v="Printers"/>
    <x v="33"/>
    <s v="North"/>
    <s v="Uttar Pradesh"/>
    <n v="395385.59999999998"/>
    <n v="8"/>
    <n v="0.2"/>
    <n v="25593.33"/>
    <s v="Cash"/>
    <x v="0"/>
    <x v="7"/>
  </r>
  <r>
    <s v="ORD10307"/>
    <d v="2024-05-16T00:00:00"/>
    <s v="Rahul Verma"/>
    <s v="Office Supplies"/>
    <s v="Storage Boxes"/>
    <x v="6"/>
    <s v="East"/>
    <s v="Jharkhand"/>
    <n v="5414.4"/>
    <n v="4"/>
    <n v="0.1"/>
    <n v="788.17"/>
    <s v="Cash"/>
    <x v="0"/>
    <x v="7"/>
  </r>
  <r>
    <s v="ORD10308"/>
    <d v="2024-05-15T00:00:00"/>
    <s v="Rahul Verma"/>
    <s v="Office Supplies"/>
    <s v="Storage Boxes"/>
    <x v="18"/>
    <s v="East"/>
    <s v="Bihar"/>
    <n v="4644"/>
    <n v="4"/>
    <n v="0.1"/>
    <n v="1111.02"/>
    <s v="Net Banking"/>
    <x v="0"/>
    <x v="7"/>
  </r>
  <r>
    <s v="ORD10309"/>
    <d v="2025-03-08T00:00:00"/>
    <s v="Aarav Sharma"/>
    <s v="Office Supplies"/>
    <s v="Pens"/>
    <x v="41"/>
    <s v="North"/>
    <s v="Haryana"/>
    <n v="16459.2"/>
    <n v="8"/>
    <n v="0.1"/>
    <n v="3793.77"/>
    <s v="Net Banking"/>
    <x v="1"/>
    <x v="8"/>
  </r>
  <r>
    <s v="ORD10310"/>
    <d v="2024-05-29T00:00:00"/>
    <s v="Aarav Sharma"/>
    <s v="Technology"/>
    <s v="Laptops"/>
    <x v="44"/>
    <s v="West"/>
    <s v="Gujarat"/>
    <n v="12870"/>
    <n v="1"/>
    <n v="0.1"/>
    <n v="2466.9"/>
    <s v="Debit Card"/>
    <x v="0"/>
    <x v="7"/>
  </r>
  <r>
    <s v="ORD10311"/>
    <d v="2025-12-13T00:00:00"/>
    <s v="Vikram Patel"/>
    <s v="Technology"/>
    <s v="Printers"/>
    <x v="39"/>
    <s v="North"/>
    <s v="Haryana"/>
    <n v="70680.899999999994"/>
    <n v="2"/>
    <n v="0.15"/>
    <n v="6362.63"/>
    <s v="UPI"/>
    <x v="1"/>
    <x v="3"/>
  </r>
  <r>
    <s v="ORD10312"/>
    <d v="2025-03-29T00:00:00"/>
    <s v="Ananya Gupta"/>
    <s v="Furniture"/>
    <s v="Tables"/>
    <x v="24"/>
    <s v="West"/>
    <s v="Rajasthan"/>
    <n v="7228"/>
    <n v="1"/>
    <n v="0.2"/>
    <n v="1472.85"/>
    <s v="Debit Card"/>
    <x v="1"/>
    <x v="8"/>
  </r>
  <r>
    <s v="ORD10313"/>
    <d v="2024-05-02T00:00:00"/>
    <s v="Rohan Khan"/>
    <s v="Office Supplies"/>
    <s v="Storage Boxes"/>
    <x v="6"/>
    <s v="South"/>
    <s v="Tamil Nadu"/>
    <n v="6574"/>
    <n v="8"/>
    <n v="0.05"/>
    <n v="1410.23"/>
    <s v="UPI"/>
    <x v="0"/>
    <x v="7"/>
  </r>
  <r>
    <s v="ORD10314"/>
    <d v="2024-11-26T00:00:00"/>
    <s v="Pooja Mishra"/>
    <s v="Furniture"/>
    <s v="Bookcases"/>
    <x v="19"/>
    <s v="East"/>
    <s v="Odisha"/>
    <n v="55247.25"/>
    <n v="5"/>
    <n v="0.05"/>
    <n v="4170.51"/>
    <s v="UPI"/>
    <x v="0"/>
    <x v="11"/>
  </r>
  <r>
    <s v="ORD10315"/>
    <d v="2025-06-17T00:00:00"/>
    <s v="Priya Singh"/>
    <s v="Office Supplies"/>
    <s v="Storage Boxes"/>
    <x v="18"/>
    <s v="East"/>
    <s v="Jharkhand"/>
    <n v="12836.4"/>
    <n v="6"/>
    <n v="0.05"/>
    <n v="3323.31"/>
    <s v="Net Banking"/>
    <x v="1"/>
    <x v="1"/>
  </r>
  <r>
    <s v="ORD10316"/>
    <d v="2024-08-11T00:00:00"/>
    <s v="Pooja Mishra"/>
    <s v="Technology"/>
    <s v="Keyboards"/>
    <x v="15"/>
    <s v="West"/>
    <s v="Maharashtra"/>
    <n v="212738.4"/>
    <n v="4"/>
    <n v="0.1"/>
    <n v="27051.72"/>
    <s v="Net Banking"/>
    <x v="0"/>
    <x v="9"/>
  </r>
  <r>
    <s v="ORD10317"/>
    <d v="2024-11-24T00:00:00"/>
    <s v="Rohan Khan"/>
    <s v="Furniture"/>
    <s v="Cabinets"/>
    <x v="9"/>
    <s v="North"/>
    <s v="Delhi"/>
    <n v="52050"/>
    <n v="6"/>
    <n v="0"/>
    <n v="11269.36"/>
    <s v="UPI"/>
    <x v="0"/>
    <x v="11"/>
  </r>
  <r>
    <s v="ORD10318"/>
    <d v="2025-10-29T00:00:00"/>
    <s v="Ananya Gupta"/>
    <s v="Furniture"/>
    <s v="Bookcases"/>
    <x v="32"/>
    <s v="East"/>
    <s v="West Bengal"/>
    <n v="89097"/>
    <n v="6"/>
    <n v="0.15"/>
    <n v="4568.03"/>
    <s v="Debit Card"/>
    <x v="1"/>
    <x v="2"/>
  </r>
  <r>
    <s v="ORD10319"/>
    <d v="2025-03-10T00:00:00"/>
    <s v="Priya Singh"/>
    <s v="Office Supplies"/>
    <s v="Paper"/>
    <x v="42"/>
    <s v="North"/>
    <s v="Punjab"/>
    <n v="914.85"/>
    <n v="1"/>
    <n v="0.05"/>
    <n v="220.01"/>
    <s v="Credit Card"/>
    <x v="1"/>
    <x v="8"/>
  </r>
  <r>
    <s v="ORD10320"/>
    <d v="2024-07-01T00:00:00"/>
    <s v="Vikram Patel"/>
    <s v="Office Supplies"/>
    <s v="Staplers"/>
    <x v="21"/>
    <s v="North"/>
    <s v="Punjab"/>
    <n v="2040"/>
    <n v="8"/>
    <n v="0"/>
    <n v="193.09"/>
    <s v="Net Banking"/>
    <x v="0"/>
    <x v="4"/>
  </r>
  <r>
    <s v="ORD10321"/>
    <d v="2025-11-20T00:00:00"/>
    <s v="Priya Singh"/>
    <s v="Technology"/>
    <s v="Printers"/>
    <x v="39"/>
    <s v="South"/>
    <s v="Telangana"/>
    <n v="193813.2"/>
    <n v="7"/>
    <n v="0.1"/>
    <n v="11314.46"/>
    <s v="Net Banking"/>
    <x v="1"/>
    <x v="11"/>
  </r>
  <r>
    <s v="ORD10322"/>
    <d v="2024-11-04T00:00:00"/>
    <s v="Pooja Mishra"/>
    <s v="Technology"/>
    <s v="Printers"/>
    <x v="33"/>
    <s v="North"/>
    <s v="Delhi"/>
    <n v="44355.6"/>
    <n v="2"/>
    <n v="0.1"/>
    <n v="9420.17"/>
    <s v="UPI"/>
    <x v="0"/>
    <x v="11"/>
  </r>
  <r>
    <s v="ORD10323"/>
    <d v="2025-02-04T00:00:00"/>
    <s v="Aditya Mehta"/>
    <s v="Furniture"/>
    <s v="Tables"/>
    <x v="24"/>
    <s v="West"/>
    <s v="Goa"/>
    <n v="5625.9"/>
    <n v="1"/>
    <n v="0.05"/>
    <n v="533.20000000000005"/>
    <s v="Debit Card"/>
    <x v="1"/>
    <x v="0"/>
  </r>
  <r>
    <s v="ORD10324"/>
    <d v="2025-07-04T00:00:00"/>
    <s v="Aditya Mehta"/>
    <s v="Office Supplies"/>
    <s v="Binders"/>
    <x v="34"/>
    <s v="East"/>
    <s v="Bihar"/>
    <n v="288"/>
    <n v="3"/>
    <n v="0.2"/>
    <n v="43.01"/>
    <s v="UPI"/>
    <x v="1"/>
    <x v="4"/>
  </r>
  <r>
    <s v="ORD10325"/>
    <d v="2024-07-17T00:00:00"/>
    <s v="Priya Singh"/>
    <s v="Furniture"/>
    <s v="Desks"/>
    <x v="17"/>
    <s v="East"/>
    <s v="Odisha"/>
    <n v="16389.599999999999"/>
    <n v="3"/>
    <n v="0.2"/>
    <n v="3227.93"/>
    <s v="Credit Card"/>
    <x v="0"/>
    <x v="4"/>
  </r>
  <r>
    <s v="ORD10326"/>
    <d v="2025-08-17T00:00:00"/>
    <s v="Neha Yadav"/>
    <s v="Office Supplies"/>
    <s v="Storage Boxes"/>
    <x v="18"/>
    <s v="North"/>
    <s v="Uttar Pradesh"/>
    <n v="2252"/>
    <n v="2"/>
    <n v="0"/>
    <n v="269.08"/>
    <s v="Debit Card"/>
    <x v="1"/>
    <x v="9"/>
  </r>
  <r>
    <s v="ORD10327"/>
    <d v="2025-09-23T00:00:00"/>
    <s v="Vikram Patel"/>
    <s v="Furniture"/>
    <s v="Desks"/>
    <x v="17"/>
    <s v="South"/>
    <s v="Karnataka"/>
    <n v="12138"/>
    <n v="2"/>
    <n v="0.15"/>
    <n v="1609.85"/>
    <s v="Net Banking"/>
    <x v="1"/>
    <x v="10"/>
  </r>
  <r>
    <s v="ORD10328"/>
    <d v="2025-10-18T00:00:00"/>
    <s v="Rohan Khan"/>
    <s v="Technology"/>
    <s v="Printers"/>
    <x v="39"/>
    <s v="East"/>
    <s v="Bihar"/>
    <n v="4320.6000000000004"/>
    <n v="3"/>
    <n v="0.05"/>
    <n v="907.07"/>
    <s v="Debit Card"/>
    <x v="1"/>
    <x v="2"/>
  </r>
  <r>
    <s v="ORD10329"/>
    <d v="2025-10-23T00:00:00"/>
    <s v="Pooja Mishra"/>
    <s v="Furniture"/>
    <s v="Desks"/>
    <x v="17"/>
    <s v="East"/>
    <s v="Jharkhand"/>
    <n v="69177.600000000006"/>
    <n v="8"/>
    <n v="0.2"/>
    <n v="3581.08"/>
    <s v="UPI"/>
    <x v="1"/>
    <x v="2"/>
  </r>
  <r>
    <s v="ORD10330"/>
    <d v="2025-08-18T00:00:00"/>
    <s v="Pooja Mishra"/>
    <s v="Furniture"/>
    <s v="Desks"/>
    <x v="36"/>
    <s v="South"/>
    <s v="Telangana"/>
    <n v="5232"/>
    <n v="2"/>
    <n v="0.2"/>
    <n v="817.89"/>
    <s v="Cash"/>
    <x v="1"/>
    <x v="9"/>
  </r>
  <r>
    <s v="ORD10331"/>
    <d v="2025-08-26T00:00:00"/>
    <s v="Vikram Patel"/>
    <s v="Office Supplies"/>
    <s v="Binders"/>
    <x v="22"/>
    <s v="North"/>
    <s v="Haryana"/>
    <n v="10866.4"/>
    <n v="8"/>
    <n v="0.15"/>
    <n v="947.13"/>
    <s v="Credit Card"/>
    <x v="1"/>
    <x v="9"/>
  </r>
  <r>
    <s v="ORD10332"/>
    <d v="2024-06-12T00:00:00"/>
    <s v="Rahul Verma"/>
    <s v="Furniture"/>
    <s v="Cabinets"/>
    <x v="38"/>
    <s v="North"/>
    <s v="Uttar Pradesh"/>
    <n v="6901.6"/>
    <n v="1"/>
    <n v="0.2"/>
    <n v="400.8"/>
    <s v="Net Banking"/>
    <x v="0"/>
    <x v="1"/>
  </r>
  <r>
    <s v="ORD10333"/>
    <d v="2024-08-27T00:00:00"/>
    <s v="Aarav Sharma"/>
    <s v="Office Supplies"/>
    <s v="Binders"/>
    <x v="34"/>
    <s v="West"/>
    <s v="Rajasthan"/>
    <n v="4196"/>
    <n v="4"/>
    <n v="0"/>
    <n v="557.53"/>
    <s v="Credit Card"/>
    <x v="0"/>
    <x v="9"/>
  </r>
  <r>
    <s v="ORD10334"/>
    <d v="2024-10-07T00:00:00"/>
    <s v="Vikram Patel"/>
    <s v="Office Supplies"/>
    <s v="Pens"/>
    <x v="8"/>
    <s v="West"/>
    <s v="Goa"/>
    <n v="417.6"/>
    <n v="1"/>
    <n v="0.2"/>
    <n v="65.44"/>
    <s v="Net Banking"/>
    <x v="0"/>
    <x v="2"/>
  </r>
  <r>
    <s v="ORD10335"/>
    <d v="2024-08-16T00:00:00"/>
    <s v="Aditya Mehta"/>
    <s v="Office Supplies"/>
    <s v="Storage Boxes"/>
    <x v="18"/>
    <s v="South"/>
    <s v="Kerala"/>
    <n v="13960.8"/>
    <n v="7"/>
    <n v="0.1"/>
    <n v="1818.61"/>
    <s v="Cash"/>
    <x v="0"/>
    <x v="9"/>
  </r>
  <r>
    <s v="ORD10336"/>
    <d v="2025-06-10T00:00:00"/>
    <s v="Vikram Patel"/>
    <s v="Furniture"/>
    <s v="Bookcases"/>
    <x v="32"/>
    <s v="West"/>
    <s v="Goa"/>
    <n v="5085.3500000000004"/>
    <n v="1"/>
    <n v="0.05"/>
    <n v="577.17999999999995"/>
    <s v="Credit Card"/>
    <x v="1"/>
    <x v="1"/>
  </r>
  <r>
    <s v="ORD10337"/>
    <d v="2025-05-08T00:00:00"/>
    <s v="Neha Yadav"/>
    <s v="Technology"/>
    <s v="Smartphones"/>
    <x v="1"/>
    <s v="South"/>
    <s v="Telangana"/>
    <n v="80146.8"/>
    <n v="2"/>
    <n v="0.1"/>
    <n v="15953.31"/>
    <s v="Cash"/>
    <x v="1"/>
    <x v="7"/>
  </r>
  <r>
    <s v="ORD10338"/>
    <d v="2025-10-06T00:00:00"/>
    <s v="Aditya Mehta"/>
    <s v="Technology"/>
    <s v="Printers"/>
    <x v="35"/>
    <s v="South"/>
    <s v="Kerala"/>
    <n v="12886.4"/>
    <n v="4"/>
    <n v="0.2"/>
    <n v="801.87"/>
    <s v="UPI"/>
    <x v="1"/>
    <x v="2"/>
  </r>
  <r>
    <s v="ORD10339"/>
    <d v="2025-11-08T00:00:00"/>
    <s v="Vikram Patel"/>
    <s v="Office Supplies"/>
    <s v="Binders"/>
    <x v="4"/>
    <s v="North"/>
    <s v="Punjab"/>
    <n v="7224"/>
    <n v="3"/>
    <n v="0"/>
    <n v="1847.19"/>
    <s v="UPI"/>
    <x v="1"/>
    <x v="11"/>
  </r>
  <r>
    <s v="ORD10340"/>
    <d v="2024-07-05T00:00:00"/>
    <s v="Pooja Mishra"/>
    <s v="Technology"/>
    <s v="Keyboards"/>
    <x v="28"/>
    <s v="West"/>
    <s v="Goa"/>
    <n v="177977.60000000001"/>
    <n v="4"/>
    <n v="0.2"/>
    <n v="34543.79"/>
    <s v="Net Banking"/>
    <x v="0"/>
    <x v="4"/>
  </r>
  <r>
    <s v="ORD10341"/>
    <d v="2024-07-26T00:00:00"/>
    <s v="Aditya Mehta"/>
    <s v="Furniture"/>
    <s v="Desks"/>
    <x v="36"/>
    <s v="East"/>
    <s v="Jharkhand"/>
    <n v="25066.7"/>
    <n v="2"/>
    <n v="0.05"/>
    <n v="2236.3000000000002"/>
    <s v="Net Banking"/>
    <x v="0"/>
    <x v="4"/>
  </r>
  <r>
    <s v="ORD10342"/>
    <d v="2024-04-05T00:00:00"/>
    <s v="Neha Yadav"/>
    <s v="Office Supplies"/>
    <s v="Staplers"/>
    <x v="21"/>
    <s v="South"/>
    <s v="Karnataka"/>
    <n v="14566.4"/>
    <n v="8"/>
    <n v="0.2"/>
    <n v="2628.89"/>
    <s v="Credit Card"/>
    <x v="0"/>
    <x v="5"/>
  </r>
  <r>
    <s v="ORD10343"/>
    <d v="2025-05-08T00:00:00"/>
    <s v="Rohan Khan"/>
    <s v="Office Supplies"/>
    <s v="Storage Boxes"/>
    <x v="18"/>
    <s v="North"/>
    <s v="Uttar Pradesh"/>
    <n v="13506.5"/>
    <n v="7"/>
    <n v="0.15"/>
    <n v="1193.94"/>
    <s v="Debit Card"/>
    <x v="1"/>
    <x v="7"/>
  </r>
  <r>
    <s v="ORD10344"/>
    <d v="2025-07-10T00:00:00"/>
    <s v="Rohan Khan"/>
    <s v="Office Supplies"/>
    <s v="Storage Boxes"/>
    <x v="14"/>
    <s v="North"/>
    <s v="Uttar Pradesh"/>
    <n v="1993.5"/>
    <n v="5"/>
    <n v="0.1"/>
    <n v="348.18"/>
    <s v="Debit Card"/>
    <x v="1"/>
    <x v="4"/>
  </r>
  <r>
    <s v="ORD10345"/>
    <d v="2024-06-07T00:00:00"/>
    <s v="Rohan Khan"/>
    <s v="Technology"/>
    <s v="Laptops"/>
    <x v="43"/>
    <s v="North"/>
    <s v="Delhi"/>
    <n v="21910.45"/>
    <n v="1"/>
    <n v="0.15"/>
    <n v="2518.69"/>
    <s v="Net Banking"/>
    <x v="0"/>
    <x v="1"/>
  </r>
  <r>
    <s v="ORD10346"/>
    <d v="2025-07-24T00:00:00"/>
    <s v="Neha Yadav"/>
    <s v="Furniture"/>
    <s v="Bookcases"/>
    <x v="32"/>
    <s v="West"/>
    <s v="Rajasthan"/>
    <n v="58747.75"/>
    <n v="5"/>
    <n v="0.15"/>
    <n v="8983.76"/>
    <s v="Credit Card"/>
    <x v="1"/>
    <x v="4"/>
  </r>
  <r>
    <s v="ORD10347"/>
    <d v="2025-04-02T00:00:00"/>
    <s v="Rahul Verma"/>
    <s v="Furniture"/>
    <s v="Cabinets"/>
    <x v="38"/>
    <s v="West"/>
    <s v="Rajasthan"/>
    <n v="83070"/>
    <n v="6"/>
    <n v="0"/>
    <n v="19069.79"/>
    <s v="UPI"/>
    <x v="1"/>
    <x v="5"/>
  </r>
  <r>
    <s v="ORD10348"/>
    <d v="2025-04-27T00:00:00"/>
    <s v="Pooja Mishra"/>
    <s v="Technology"/>
    <s v="Printers"/>
    <x v="33"/>
    <s v="West"/>
    <s v="Rajasthan"/>
    <n v="11734"/>
    <n v="1"/>
    <n v="0"/>
    <n v="2870.74"/>
    <s v="Cash"/>
    <x v="1"/>
    <x v="5"/>
  </r>
  <r>
    <s v="ORD10349"/>
    <d v="2025-06-17T00:00:00"/>
    <s v="Vikram Patel"/>
    <s v="Technology"/>
    <s v="Laptops"/>
    <x v="12"/>
    <s v="East"/>
    <s v="Odisha"/>
    <n v="69892.100000000006"/>
    <n v="2"/>
    <n v="0.15"/>
    <n v="11552.68"/>
    <s v="Net Banking"/>
    <x v="1"/>
    <x v="1"/>
  </r>
  <r>
    <s v="ORD10350"/>
    <d v="2025-09-05T00:00:00"/>
    <s v="Aditya Mehta"/>
    <s v="Technology"/>
    <s v="Smartphones"/>
    <x v="10"/>
    <s v="West"/>
    <s v="Goa"/>
    <n v="216379.6"/>
    <n v="4"/>
    <n v="0.05"/>
    <n v="16060.1"/>
    <s v="Net Banking"/>
    <x v="1"/>
    <x v="10"/>
  </r>
  <r>
    <s v="ORD10351"/>
    <d v="2025-02-13T00:00:00"/>
    <s v="Sneha Joshi"/>
    <s v="Office Supplies"/>
    <s v="Binders"/>
    <x v="4"/>
    <s v="South"/>
    <s v="Karnataka"/>
    <n v="2976"/>
    <n v="4"/>
    <n v="0"/>
    <n v="831.39"/>
    <s v="Cash"/>
    <x v="1"/>
    <x v="0"/>
  </r>
  <r>
    <s v="ORD10352"/>
    <d v="2025-07-26T00:00:00"/>
    <s v="Pooja Mishra"/>
    <s v="Furniture"/>
    <s v="Cabinets"/>
    <x v="9"/>
    <s v="South"/>
    <s v="Karnataka"/>
    <n v="6757.2"/>
    <n v="2"/>
    <n v="0.1"/>
    <n v="1352.98"/>
    <s v="Debit Card"/>
    <x v="1"/>
    <x v="4"/>
  </r>
  <r>
    <s v="ORD10353"/>
    <d v="2024-04-19T00:00:00"/>
    <s v="Aditya Mehta"/>
    <s v="Furniture"/>
    <s v="Bookcases"/>
    <x v="27"/>
    <s v="South"/>
    <s v="Tamil Nadu"/>
    <n v="6330.8"/>
    <n v="7"/>
    <n v="0.05"/>
    <n v="942.83"/>
    <s v="UPI"/>
    <x v="0"/>
    <x v="5"/>
  </r>
  <r>
    <s v="ORD10354"/>
    <d v="2024-09-06T00:00:00"/>
    <s v="Sneha Joshi"/>
    <s v="Office Supplies"/>
    <s v="Pens"/>
    <x v="41"/>
    <s v="East"/>
    <s v="West Bengal"/>
    <n v="8130.25"/>
    <n v="5"/>
    <n v="0.15"/>
    <n v="1261.28"/>
    <s v="Cash"/>
    <x v="0"/>
    <x v="10"/>
  </r>
  <r>
    <s v="ORD10355"/>
    <d v="2025-02-26T00:00:00"/>
    <s v="Sneha Joshi"/>
    <s v="Office Supplies"/>
    <s v="Staplers"/>
    <x v="21"/>
    <s v="North"/>
    <s v="Uttar Pradesh"/>
    <n v="4759.5"/>
    <n v="5"/>
    <n v="0.05"/>
    <n v="1082.94"/>
    <s v="Net Banking"/>
    <x v="1"/>
    <x v="0"/>
  </r>
  <r>
    <s v="ORD10356"/>
    <d v="2025-05-02T00:00:00"/>
    <s v="Sneha Joshi"/>
    <s v="Office Supplies"/>
    <s v="Paper"/>
    <x v="37"/>
    <s v="East"/>
    <s v="Odisha"/>
    <n v="657.6"/>
    <n v="2"/>
    <n v="0.2"/>
    <n v="142.22999999999999"/>
    <s v="Debit Card"/>
    <x v="1"/>
    <x v="7"/>
  </r>
  <r>
    <s v="ORD10357"/>
    <d v="2024-07-30T00:00:00"/>
    <s v="Ananya Gupta"/>
    <s v="Technology"/>
    <s v="Printers"/>
    <x v="33"/>
    <s v="East"/>
    <s v="Odisha"/>
    <n v="128827.6"/>
    <n v="4"/>
    <n v="0.05"/>
    <n v="31182.53"/>
    <s v="Credit Card"/>
    <x v="0"/>
    <x v="4"/>
  </r>
  <r>
    <s v="ORD10358"/>
    <d v="2025-07-08T00:00:00"/>
    <s v="Aarav Sharma"/>
    <s v="Technology"/>
    <s v="Printers"/>
    <x v="35"/>
    <s v="East"/>
    <s v="Odisha"/>
    <n v="98408"/>
    <n v="2"/>
    <n v="0.2"/>
    <n v="3082.6"/>
    <s v="Cash"/>
    <x v="1"/>
    <x v="4"/>
  </r>
  <r>
    <s v="ORD10359"/>
    <d v="2025-08-13T00:00:00"/>
    <s v="Rahul Verma"/>
    <s v="Furniture"/>
    <s v="Cabinets"/>
    <x v="9"/>
    <s v="East"/>
    <s v="Jharkhand"/>
    <n v="30564"/>
    <n v="5"/>
    <n v="0.1"/>
    <n v="4113.18"/>
    <s v="UPI"/>
    <x v="1"/>
    <x v="9"/>
  </r>
  <r>
    <s v="ORD10360"/>
    <d v="2025-04-16T00:00:00"/>
    <s v="Sneha Joshi"/>
    <s v="Office Supplies"/>
    <s v="Staplers"/>
    <x v="29"/>
    <s v="West"/>
    <s v="Maharashtra"/>
    <n v="11832"/>
    <n v="6"/>
    <n v="0"/>
    <n v="2598.89"/>
    <s v="UPI"/>
    <x v="1"/>
    <x v="5"/>
  </r>
  <r>
    <s v="ORD10361"/>
    <d v="2024-10-02T00:00:00"/>
    <s v="Neha Yadav"/>
    <s v="Technology"/>
    <s v="Smartphones"/>
    <x v="13"/>
    <s v="West"/>
    <s v="Maharashtra"/>
    <n v="198523.2"/>
    <n v="6"/>
    <n v="0.2"/>
    <n v="16392.02"/>
    <s v="Net Banking"/>
    <x v="0"/>
    <x v="2"/>
  </r>
  <r>
    <s v="ORD10362"/>
    <d v="2024-07-03T00:00:00"/>
    <s v="Pooja Mishra"/>
    <s v="Furniture"/>
    <s v="Bookcases"/>
    <x v="27"/>
    <s v="South"/>
    <s v="Kerala"/>
    <n v="44196.6"/>
    <n v="4"/>
    <n v="0.15"/>
    <n v="4350.09"/>
    <s v="Credit Card"/>
    <x v="0"/>
    <x v="4"/>
  </r>
  <r>
    <s v="ORD10363"/>
    <d v="2024-06-02T00:00:00"/>
    <s v="Neha Yadav"/>
    <s v="Office Supplies"/>
    <s v="Binders"/>
    <x v="34"/>
    <s v="North"/>
    <s v="Haryana"/>
    <n v="6004.95"/>
    <n v="7"/>
    <n v="0.05"/>
    <n v="1366.17"/>
    <s v="UPI"/>
    <x v="0"/>
    <x v="1"/>
  </r>
  <r>
    <s v="ORD10364"/>
    <d v="2025-08-04T00:00:00"/>
    <s v="Aarav Sharma"/>
    <s v="Technology"/>
    <s v="Keyboards"/>
    <x v="3"/>
    <s v="West"/>
    <s v="Gujarat"/>
    <n v="284401.8"/>
    <n v="6"/>
    <n v="0.1"/>
    <n v="47616.74"/>
    <s v="Cash"/>
    <x v="1"/>
    <x v="9"/>
  </r>
  <r>
    <s v="ORD10365"/>
    <d v="2025-01-03T00:00:00"/>
    <s v="Aditya Mehta"/>
    <s v="Technology"/>
    <s v="Smartphones"/>
    <x v="13"/>
    <s v="North"/>
    <s v="Punjab"/>
    <n v="404510.4"/>
    <n v="8"/>
    <n v="0.1"/>
    <n v="43263.93"/>
    <s v="Net Banking"/>
    <x v="1"/>
    <x v="6"/>
  </r>
  <r>
    <s v="ORD10366"/>
    <d v="2025-07-05T00:00:00"/>
    <s v="Rahul Verma"/>
    <s v="Furniture"/>
    <s v="Bookcases"/>
    <x v="19"/>
    <s v="North"/>
    <s v="Uttar Pradesh"/>
    <n v="35131.199999999997"/>
    <n v="6"/>
    <n v="0.2"/>
    <n v="5620.05"/>
    <s v="Debit Card"/>
    <x v="1"/>
    <x v="4"/>
  </r>
  <r>
    <s v="ORD10367"/>
    <d v="2025-10-17T00:00:00"/>
    <s v="Sneha Joshi"/>
    <s v="Furniture"/>
    <s v="Bookcases"/>
    <x v="19"/>
    <s v="West"/>
    <s v="Goa"/>
    <n v="67750.2"/>
    <n v="7"/>
    <n v="0.05"/>
    <n v="16338.06"/>
    <s v="Cash"/>
    <x v="1"/>
    <x v="2"/>
  </r>
  <r>
    <s v="ORD10368"/>
    <d v="2025-12-28T00:00:00"/>
    <s v="Vikram Patel"/>
    <s v="Office Supplies"/>
    <s v="Storage Boxes"/>
    <x v="14"/>
    <s v="West"/>
    <s v="Maharashtra"/>
    <n v="3736.8"/>
    <n v="3"/>
    <n v="0.1"/>
    <n v="693.56"/>
    <s v="Net Banking"/>
    <x v="1"/>
    <x v="3"/>
  </r>
  <r>
    <s v="ORD10369"/>
    <d v="2024-08-28T00:00:00"/>
    <s v="Vikram Patel"/>
    <s v="Office Supplies"/>
    <s v="Staplers"/>
    <x v="7"/>
    <s v="East"/>
    <s v="Jharkhand"/>
    <n v="6824"/>
    <n v="8"/>
    <n v="0"/>
    <n v="716.57"/>
    <s v="UPI"/>
    <x v="0"/>
    <x v="9"/>
  </r>
  <r>
    <s v="ORD10370"/>
    <d v="2025-02-10T00:00:00"/>
    <s v="Aditya Mehta"/>
    <s v="Technology"/>
    <s v="Smartphones"/>
    <x v="10"/>
    <s v="West"/>
    <s v="Maharashtra"/>
    <n v="125186"/>
    <n v="2"/>
    <n v="0"/>
    <n v="10674.98"/>
    <s v="UPI"/>
    <x v="1"/>
    <x v="0"/>
  </r>
  <r>
    <s v="ORD10371"/>
    <d v="2024-05-09T00:00:00"/>
    <s v="Rahul Verma"/>
    <s v="Technology"/>
    <s v="Monitors"/>
    <x v="16"/>
    <s v="South"/>
    <s v="Karnataka"/>
    <n v="135286.20000000001"/>
    <n v="7"/>
    <n v="0.1"/>
    <n v="19431.439999999999"/>
    <s v="Net Banking"/>
    <x v="0"/>
    <x v="7"/>
  </r>
  <r>
    <s v="ORD10372"/>
    <d v="2025-12-15T00:00:00"/>
    <s v="Aditya Mehta"/>
    <s v="Technology"/>
    <s v="Laptops"/>
    <x v="12"/>
    <s v="North"/>
    <s v="Haryana"/>
    <n v="216355.6"/>
    <n v="8"/>
    <n v="0.15"/>
    <n v="15041.69"/>
    <s v="Credit Card"/>
    <x v="1"/>
    <x v="3"/>
  </r>
  <r>
    <s v="ORD10373"/>
    <d v="2024-04-01T00:00:00"/>
    <s v="Neha Yadav"/>
    <s v="Office Supplies"/>
    <s v="Storage Boxes"/>
    <x v="18"/>
    <s v="West"/>
    <s v="Goa"/>
    <n v="8288"/>
    <n v="5"/>
    <n v="0.2"/>
    <n v="625.13"/>
    <s v="Debit Card"/>
    <x v="0"/>
    <x v="5"/>
  </r>
  <r>
    <s v="ORD10374"/>
    <d v="2025-07-01T00:00:00"/>
    <s v="Aarav Sharma"/>
    <s v="Furniture"/>
    <s v="Tables"/>
    <x v="31"/>
    <s v="East"/>
    <s v="Odisha"/>
    <n v="16153.2"/>
    <n v="1"/>
    <n v="0.1"/>
    <n v="1814.85"/>
    <s v="Cash"/>
    <x v="1"/>
    <x v="4"/>
  </r>
  <r>
    <s v="ORD10375"/>
    <d v="2025-07-28T00:00:00"/>
    <s v="Rohan Khan"/>
    <s v="Furniture"/>
    <s v="Bookcases"/>
    <x v="27"/>
    <s v="North"/>
    <s v="Uttar Pradesh"/>
    <n v="3729.6"/>
    <n v="4"/>
    <n v="0.1"/>
    <n v="345.79"/>
    <s v="Cash"/>
    <x v="1"/>
    <x v="4"/>
  </r>
  <r>
    <s v="ORD10376"/>
    <d v="2025-09-19T00:00:00"/>
    <s v="Vikram Patel"/>
    <s v="Technology"/>
    <s v="Smartphones"/>
    <x v="10"/>
    <s v="West"/>
    <s v="Goa"/>
    <n v="25564"/>
    <n v="5"/>
    <n v="0.2"/>
    <n v="4675.8500000000004"/>
    <s v="Debit Card"/>
    <x v="1"/>
    <x v="10"/>
  </r>
  <r>
    <s v="ORD10377"/>
    <d v="2025-09-24T00:00:00"/>
    <s v="Neha Yadav"/>
    <s v="Office Supplies"/>
    <s v="Storage Boxes"/>
    <x v="14"/>
    <s v="East"/>
    <s v="Jharkhand"/>
    <n v="2572"/>
    <n v="2"/>
    <n v="0"/>
    <n v="533.38"/>
    <s v="Debit Card"/>
    <x v="1"/>
    <x v="10"/>
  </r>
  <r>
    <s v="ORD10378"/>
    <d v="2024-04-14T00:00:00"/>
    <s v="Vikram Patel"/>
    <s v="Office Supplies"/>
    <s v="Storage Boxes"/>
    <x v="6"/>
    <s v="West"/>
    <s v="Gujarat"/>
    <n v="2291"/>
    <n v="1"/>
    <n v="0"/>
    <n v="268.48"/>
    <s v="Debit Card"/>
    <x v="0"/>
    <x v="5"/>
  </r>
  <r>
    <s v="ORD10379"/>
    <d v="2025-05-25T00:00:00"/>
    <s v="Sneha Joshi"/>
    <s v="Technology"/>
    <s v="Keyboards"/>
    <x v="28"/>
    <s v="North"/>
    <s v="Punjab"/>
    <n v="5845.5"/>
    <n v="3"/>
    <n v="0.1"/>
    <n v="812.81"/>
    <s v="Cash"/>
    <x v="1"/>
    <x v="7"/>
  </r>
  <r>
    <s v="ORD10380"/>
    <d v="2024-07-15T00:00:00"/>
    <s v="Vikram Patel"/>
    <s v="Office Supplies"/>
    <s v="Paper"/>
    <x v="0"/>
    <s v="East"/>
    <s v="West Bengal"/>
    <n v="313.60000000000002"/>
    <n v="1"/>
    <n v="0.2"/>
    <n v="38.9"/>
    <s v="Cash"/>
    <x v="0"/>
    <x v="4"/>
  </r>
  <r>
    <s v="ORD10381"/>
    <d v="2024-04-06T00:00:00"/>
    <s v="Aditya Mehta"/>
    <s v="Technology"/>
    <s v="Laptops"/>
    <x v="12"/>
    <s v="South"/>
    <s v="Kerala"/>
    <n v="168436"/>
    <n v="4"/>
    <n v="0.15"/>
    <n v="31929.5"/>
    <s v="Credit Card"/>
    <x v="0"/>
    <x v="5"/>
  </r>
  <r>
    <s v="ORD10382"/>
    <d v="2024-11-01T00:00:00"/>
    <s v="Ananya Gupta"/>
    <s v="Furniture"/>
    <s v="Tables"/>
    <x v="26"/>
    <s v="East"/>
    <s v="Bihar"/>
    <n v="16082.1"/>
    <n v="1"/>
    <n v="0.1"/>
    <n v="2432.35"/>
    <s v="Debit Card"/>
    <x v="0"/>
    <x v="11"/>
  </r>
  <r>
    <s v="ORD10383"/>
    <d v="2025-02-09T00:00:00"/>
    <s v="Ananya Gupta"/>
    <s v="Technology"/>
    <s v="Smartphones"/>
    <x v="1"/>
    <s v="North"/>
    <s v="Punjab"/>
    <n v="141542.1"/>
    <n v="7"/>
    <n v="0.1"/>
    <n v="24336.66"/>
    <s v="UPI"/>
    <x v="1"/>
    <x v="0"/>
  </r>
  <r>
    <s v="ORD10384"/>
    <d v="2024-12-12T00:00:00"/>
    <s v="Aarav Sharma"/>
    <s v="Technology"/>
    <s v="Printers"/>
    <x v="39"/>
    <s v="West"/>
    <s v="Gujarat"/>
    <n v="35000"/>
    <n v="2"/>
    <n v="0"/>
    <n v="7601.61"/>
    <s v="UPI"/>
    <x v="0"/>
    <x v="3"/>
  </r>
  <r>
    <s v="ORD10385"/>
    <d v="2025-01-21T00:00:00"/>
    <s v="Sneha Joshi"/>
    <s v="Furniture"/>
    <s v="Desks"/>
    <x v="17"/>
    <s v="North"/>
    <s v="Punjab"/>
    <n v="46284"/>
    <n v="4"/>
    <n v="0.05"/>
    <n v="3321.83"/>
    <s v="Credit Card"/>
    <x v="1"/>
    <x v="6"/>
  </r>
  <r>
    <s v="ORD10386"/>
    <d v="2024-12-22T00:00:00"/>
    <s v="Sneha Joshi"/>
    <s v="Furniture"/>
    <s v="Chairs"/>
    <x v="23"/>
    <s v="West"/>
    <s v="Goa"/>
    <n v="67436"/>
    <n v="5"/>
    <n v="0.2"/>
    <n v="4540.1499999999996"/>
    <s v="Cash"/>
    <x v="0"/>
    <x v="3"/>
  </r>
  <r>
    <s v="ORD10387"/>
    <d v="2024-01-01T00:00:00"/>
    <s v="Aditya Mehta"/>
    <s v="Furniture"/>
    <s v="Cabinets"/>
    <x v="9"/>
    <s v="South"/>
    <s v="Karnataka"/>
    <n v="25171.200000000001"/>
    <n v="3"/>
    <n v="0.2"/>
    <n v="2603.27"/>
    <s v="Cash"/>
    <x v="0"/>
    <x v="6"/>
  </r>
  <r>
    <s v="ORD10388"/>
    <d v="2025-11-30T00:00:00"/>
    <s v="Neha Yadav"/>
    <s v="Office Supplies"/>
    <s v="Binders"/>
    <x v="22"/>
    <s v="North"/>
    <s v="Haryana"/>
    <n v="7843.8"/>
    <n v="4"/>
    <n v="0.15"/>
    <n v="631.22"/>
    <s v="Net Banking"/>
    <x v="1"/>
    <x v="11"/>
  </r>
  <r>
    <s v="ORD10389"/>
    <d v="2024-05-12T00:00:00"/>
    <s v="Rahul Verma"/>
    <s v="Technology"/>
    <s v="Printers"/>
    <x v="39"/>
    <s v="East"/>
    <s v="Bihar"/>
    <n v="50634"/>
    <n v="6"/>
    <n v="0"/>
    <n v="4494.04"/>
    <s v="UPI"/>
    <x v="0"/>
    <x v="7"/>
  </r>
  <r>
    <s v="ORD10390"/>
    <d v="2025-08-27T00:00:00"/>
    <s v="Vikram Patel"/>
    <s v="Technology"/>
    <s v="Laptops"/>
    <x v="44"/>
    <s v="West"/>
    <s v="Gujarat"/>
    <n v="30896.799999999999"/>
    <n v="1"/>
    <n v="0.2"/>
    <n v="4782.6400000000003"/>
    <s v="UPI"/>
    <x v="1"/>
    <x v="9"/>
  </r>
  <r>
    <s v="ORD10391"/>
    <d v="2025-03-01T00:00:00"/>
    <s v="Sneha Joshi"/>
    <s v="Furniture"/>
    <s v="Desks"/>
    <x v="2"/>
    <s v="North"/>
    <s v="Delhi"/>
    <n v="27360"/>
    <n v="8"/>
    <n v="0"/>
    <n v="4163.79"/>
    <s v="UPI"/>
    <x v="1"/>
    <x v="8"/>
  </r>
  <r>
    <s v="ORD10392"/>
    <d v="2024-08-24T00:00:00"/>
    <s v="Aditya Mehta"/>
    <s v="Office Supplies"/>
    <s v="Pens"/>
    <x v="8"/>
    <s v="North"/>
    <s v="Delhi"/>
    <n v="4454"/>
    <n v="2"/>
    <n v="0"/>
    <n v="446.49"/>
    <s v="Cash"/>
    <x v="0"/>
    <x v="9"/>
  </r>
  <r>
    <s v="ORD10393"/>
    <d v="2025-12-20T00:00:00"/>
    <s v="Rohan Khan"/>
    <s v="Technology"/>
    <s v="Smartphones"/>
    <x v="1"/>
    <s v="South"/>
    <s v="Tamil Nadu"/>
    <n v="315604.8"/>
    <n v="7"/>
    <n v="0.1"/>
    <n v="59932.88"/>
    <s v="UPI"/>
    <x v="1"/>
    <x v="3"/>
  </r>
  <r>
    <s v="ORD10394"/>
    <d v="2024-11-28T00:00:00"/>
    <s v="Sneha Joshi"/>
    <s v="Technology"/>
    <s v="Smartphones"/>
    <x v="1"/>
    <s v="West"/>
    <s v="Rajasthan"/>
    <n v="97710.3"/>
    <n v="3"/>
    <n v="0.1"/>
    <n v="16123.79"/>
    <s v="Cash"/>
    <x v="0"/>
    <x v="11"/>
  </r>
  <r>
    <s v="ORD10395"/>
    <d v="2025-02-10T00:00:00"/>
    <s v="Aarav Sharma"/>
    <s v="Office Supplies"/>
    <s v="Staplers"/>
    <x v="29"/>
    <s v="East"/>
    <s v="Odisha"/>
    <n v="5351.6"/>
    <n v="4"/>
    <n v="0.15"/>
    <n v="706.41"/>
    <s v="UPI"/>
    <x v="1"/>
    <x v="0"/>
  </r>
  <r>
    <s v="ORD10396"/>
    <d v="2025-12-07T00:00:00"/>
    <s v="Vikram Patel"/>
    <s v="Furniture"/>
    <s v="Cabinets"/>
    <x v="38"/>
    <s v="North"/>
    <s v="Punjab"/>
    <n v="7263"/>
    <n v="1"/>
    <n v="0.1"/>
    <n v="430.99"/>
    <s v="Net Banking"/>
    <x v="1"/>
    <x v="3"/>
  </r>
  <r>
    <s v="ORD10397"/>
    <d v="2025-08-19T00:00:00"/>
    <s v="Ananya Gupta"/>
    <s v="Office Supplies"/>
    <s v="Storage Boxes"/>
    <x v="14"/>
    <s v="South"/>
    <s v="Karnataka"/>
    <n v="4795.2"/>
    <n v="8"/>
    <n v="0.1"/>
    <n v="615.78"/>
    <s v="Credit Card"/>
    <x v="1"/>
    <x v="9"/>
  </r>
  <r>
    <s v="ORD10398"/>
    <d v="2025-12-07T00:00:00"/>
    <s v="Pooja Mishra"/>
    <s v="Furniture"/>
    <s v="Bookcases"/>
    <x v="32"/>
    <s v="North"/>
    <s v="Uttar Pradesh"/>
    <n v="11318.6"/>
    <n v="4"/>
    <n v="0.15"/>
    <n v="872.44"/>
    <s v="UPI"/>
    <x v="1"/>
    <x v="3"/>
  </r>
  <r>
    <s v="ORD10399"/>
    <d v="2024-05-03T00:00:00"/>
    <s v="Ananya Gupta"/>
    <s v="Office Supplies"/>
    <s v="Pens"/>
    <x v="30"/>
    <s v="North"/>
    <s v="Uttar Pradesh"/>
    <n v="1296.25"/>
    <n v="1"/>
    <n v="0.15"/>
    <n v="163.07"/>
    <s v="Net Banking"/>
    <x v="0"/>
    <x v="7"/>
  </r>
  <r>
    <s v="ORD10400"/>
    <d v="2024-06-05T00:00:00"/>
    <s v="Aarav Sharma"/>
    <s v="Technology"/>
    <s v="Keyboards"/>
    <x v="3"/>
    <s v="North"/>
    <s v="Haryana"/>
    <n v="17700.8"/>
    <n v="1"/>
    <n v="0.2"/>
    <n v="3001.24"/>
    <s v="Cash"/>
    <x v="0"/>
    <x v="1"/>
  </r>
  <r>
    <s v="ORD10401"/>
    <d v="2025-05-02T00:00:00"/>
    <s v="Pooja Mishra"/>
    <s v="Furniture"/>
    <s v="Cabinets"/>
    <x v="38"/>
    <s v="North"/>
    <s v="Punjab"/>
    <n v="65174.75"/>
    <n v="5"/>
    <n v="0.05"/>
    <n v="8781.23"/>
    <s v="UPI"/>
    <x v="1"/>
    <x v="7"/>
  </r>
  <r>
    <s v="ORD10402"/>
    <d v="2025-05-14T00:00:00"/>
    <s v="Rohan Khan"/>
    <s v="Office Supplies"/>
    <s v="Staplers"/>
    <x v="7"/>
    <s v="East"/>
    <s v="West Bengal"/>
    <n v="3879.4"/>
    <n v="7"/>
    <n v="0.15"/>
    <n v="598.82000000000005"/>
    <s v="Net Banking"/>
    <x v="1"/>
    <x v="7"/>
  </r>
  <r>
    <s v="ORD10403"/>
    <d v="2025-11-18T00:00:00"/>
    <s v="Rohan Khan"/>
    <s v="Technology"/>
    <s v="Printers"/>
    <x v="35"/>
    <s v="South"/>
    <s v="Tamil Nadu"/>
    <n v="208424"/>
    <n v="5"/>
    <n v="0.2"/>
    <n v="9987.4500000000007"/>
    <s v="Cash"/>
    <x v="1"/>
    <x v="11"/>
  </r>
  <r>
    <s v="ORD10404"/>
    <d v="2025-03-28T00:00:00"/>
    <s v="Pooja Mishra"/>
    <s v="Furniture"/>
    <s v="Bookcases"/>
    <x v="27"/>
    <s v="South"/>
    <s v="Telangana"/>
    <n v="9709.2000000000007"/>
    <n v="1"/>
    <n v="0.1"/>
    <n v="1730.61"/>
    <s v="Credit Card"/>
    <x v="1"/>
    <x v="8"/>
  </r>
  <r>
    <s v="ORD10405"/>
    <d v="2025-09-27T00:00:00"/>
    <s v="Rahul Verma"/>
    <s v="Furniture"/>
    <s v="Chairs"/>
    <x v="23"/>
    <s v="South"/>
    <s v="Tamil Nadu"/>
    <n v="21666"/>
    <n v="6"/>
    <n v="0"/>
    <n v="2786.46"/>
    <s v="Debit Card"/>
    <x v="1"/>
    <x v="10"/>
  </r>
  <r>
    <s v="ORD10406"/>
    <d v="2025-07-13T00:00:00"/>
    <s v="Aditya Mehta"/>
    <s v="Technology"/>
    <s v="Monitors"/>
    <x v="11"/>
    <s v="North"/>
    <s v="Haryana"/>
    <n v="17216"/>
    <n v="8"/>
    <n v="0.2"/>
    <n v="1246.01"/>
    <s v="Debit Card"/>
    <x v="1"/>
    <x v="4"/>
  </r>
  <r>
    <s v="ORD10407"/>
    <d v="2025-12-14T00:00:00"/>
    <s v="Pooja Mishra"/>
    <s v="Office Supplies"/>
    <s v="Staplers"/>
    <x v="7"/>
    <s v="South"/>
    <s v="Karnataka"/>
    <n v="311.39999999999998"/>
    <n v="1"/>
    <n v="0.1"/>
    <n v="29.63"/>
    <s v="Debit Card"/>
    <x v="1"/>
    <x v="3"/>
  </r>
  <r>
    <s v="ORD10408"/>
    <d v="2025-10-26T00:00:00"/>
    <s v="Rohan Khan"/>
    <s v="Technology"/>
    <s v="Keyboards"/>
    <x v="15"/>
    <s v="North"/>
    <s v="Delhi"/>
    <n v="223245"/>
    <n v="5"/>
    <n v="0"/>
    <n v="30919.24"/>
    <s v="Credit Card"/>
    <x v="1"/>
    <x v="2"/>
  </r>
  <r>
    <s v="ORD10409"/>
    <d v="2025-12-30T00:00:00"/>
    <s v="Aarav Sharma"/>
    <s v="Furniture"/>
    <s v="Cabinets"/>
    <x v="38"/>
    <s v="North"/>
    <s v="Haryana"/>
    <n v="12437.2"/>
    <n v="2"/>
    <n v="0.15"/>
    <n v="1923.26"/>
    <s v="UPI"/>
    <x v="1"/>
    <x v="3"/>
  </r>
  <r>
    <s v="ORD10410"/>
    <d v="2024-12-29T00:00:00"/>
    <s v="Vikram Patel"/>
    <s v="Technology"/>
    <s v="Printers"/>
    <x v="39"/>
    <s v="East"/>
    <s v="Bihar"/>
    <n v="314899.20000000001"/>
    <n v="7"/>
    <n v="0.1"/>
    <n v="60417.279999999999"/>
    <s v="Credit Card"/>
    <x v="0"/>
    <x v="3"/>
  </r>
  <r>
    <s v="ORD10411"/>
    <d v="2025-02-06T00:00:00"/>
    <s v="Rahul Verma"/>
    <s v="Office Supplies"/>
    <s v="Pens"/>
    <x v="8"/>
    <s v="North"/>
    <s v="Haryana"/>
    <n v="971.85"/>
    <n v="1"/>
    <n v="0.05"/>
    <n v="132.03"/>
    <s v="UPI"/>
    <x v="1"/>
    <x v="0"/>
  </r>
  <r>
    <s v="ORD10412"/>
    <d v="2024-07-30T00:00:00"/>
    <s v="Rahul Verma"/>
    <s v="Office Supplies"/>
    <s v="Staplers"/>
    <x v="21"/>
    <s v="South"/>
    <s v="Kerala"/>
    <n v="3692.4"/>
    <n v="3"/>
    <n v="0.15"/>
    <n v="557.36"/>
    <s v="Net Banking"/>
    <x v="0"/>
    <x v="4"/>
  </r>
  <r>
    <s v="ORD10413"/>
    <d v="2025-07-24T00:00:00"/>
    <s v="Aditya Mehta"/>
    <s v="Office Supplies"/>
    <s v="Binders"/>
    <x v="22"/>
    <s v="South"/>
    <s v="Telangana"/>
    <n v="6877.05"/>
    <n v="3"/>
    <n v="0.05"/>
    <n v="900.89"/>
    <s v="UPI"/>
    <x v="1"/>
    <x v="4"/>
  </r>
  <r>
    <s v="ORD10414"/>
    <d v="2025-10-14T00:00:00"/>
    <s v="Vikram Patel"/>
    <s v="Technology"/>
    <s v="Monitors"/>
    <x v="11"/>
    <s v="South"/>
    <s v="Karnataka"/>
    <n v="381942.4"/>
    <n v="7"/>
    <n v="0.15"/>
    <n v="73188.55"/>
    <s v="Credit Card"/>
    <x v="1"/>
    <x v="2"/>
  </r>
  <r>
    <s v="ORD10415"/>
    <d v="2025-01-02T00:00:00"/>
    <s v="Priya Singh"/>
    <s v="Technology"/>
    <s v="Laptops"/>
    <x v="44"/>
    <s v="South"/>
    <s v="Tamil Nadu"/>
    <n v="194218"/>
    <n v="5"/>
    <n v="0.05"/>
    <n v="39809.949999999997"/>
    <s v="Cash"/>
    <x v="1"/>
    <x v="6"/>
  </r>
  <r>
    <s v="ORD10416"/>
    <d v="2024-02-03T00:00:00"/>
    <s v="Rohan Khan"/>
    <s v="Technology"/>
    <s v="Printers"/>
    <x v="35"/>
    <s v="West"/>
    <s v="Rajasthan"/>
    <n v="222156.55"/>
    <n v="7"/>
    <n v="0.05"/>
    <n v="23582.35"/>
    <s v="UPI"/>
    <x v="0"/>
    <x v="0"/>
  </r>
  <r>
    <s v="ORD10417"/>
    <d v="2024-09-09T00:00:00"/>
    <s v="Rohan Khan"/>
    <s v="Furniture"/>
    <s v="Tables"/>
    <x v="26"/>
    <s v="South"/>
    <s v="Tamil Nadu"/>
    <n v="27349.200000000001"/>
    <n v="2"/>
    <n v="0.1"/>
    <n v="6245.33"/>
    <s v="Cash"/>
    <x v="0"/>
    <x v="10"/>
  </r>
  <r>
    <s v="ORD10418"/>
    <d v="2024-02-13T00:00:00"/>
    <s v="Ananya Gupta"/>
    <s v="Technology"/>
    <s v="Printers"/>
    <x v="39"/>
    <s v="West"/>
    <s v="Rajasthan"/>
    <n v="30022.85"/>
    <n v="1"/>
    <n v="0.15"/>
    <n v="6241.81"/>
    <s v="Net Banking"/>
    <x v="0"/>
    <x v="0"/>
  </r>
  <r>
    <s v="ORD10419"/>
    <d v="2024-10-19T00:00:00"/>
    <s v="Neha Yadav"/>
    <s v="Office Supplies"/>
    <s v="Staplers"/>
    <x v="29"/>
    <s v="North"/>
    <s v="Uttar Pradesh"/>
    <n v="1615"/>
    <n v="1"/>
    <n v="0.15"/>
    <n v="354.3"/>
    <s v="Credit Card"/>
    <x v="0"/>
    <x v="2"/>
  </r>
  <r>
    <s v="ORD10420"/>
    <d v="2025-12-13T00:00:00"/>
    <s v="Aditya Mehta"/>
    <s v="Furniture"/>
    <s v="Bookcases"/>
    <x v="27"/>
    <s v="North"/>
    <s v="Punjab"/>
    <n v="130758"/>
    <n v="8"/>
    <n v="0.05"/>
    <n v="29191.23"/>
    <s v="Credit Card"/>
    <x v="1"/>
    <x v="3"/>
  </r>
  <r>
    <s v="ORD10421"/>
    <d v="2025-12-09T00:00:00"/>
    <s v="Rahul Verma"/>
    <s v="Furniture"/>
    <s v="Tables"/>
    <x v="26"/>
    <s v="East"/>
    <s v="Jharkhand"/>
    <n v="22248"/>
    <n v="3"/>
    <n v="0"/>
    <n v="2892.61"/>
    <s v="UPI"/>
    <x v="1"/>
    <x v="3"/>
  </r>
  <r>
    <s v="ORD10422"/>
    <d v="2024-02-14T00:00:00"/>
    <s v="Rahul Verma"/>
    <s v="Technology"/>
    <s v="Laptops"/>
    <x v="44"/>
    <s v="West"/>
    <s v="Rajasthan"/>
    <n v="290574.2"/>
    <n v="7"/>
    <n v="0.15"/>
    <n v="44332.67"/>
    <s v="Debit Card"/>
    <x v="0"/>
    <x v="0"/>
  </r>
  <r>
    <s v="ORD10423"/>
    <d v="2024-07-04T00:00:00"/>
    <s v="Priya Singh"/>
    <s v="Office Supplies"/>
    <s v="Binders"/>
    <x v="34"/>
    <s v="South"/>
    <s v="Tamil Nadu"/>
    <n v="1161.95"/>
    <n v="1"/>
    <n v="0.15"/>
    <n v="116.49"/>
    <s v="Credit Card"/>
    <x v="0"/>
    <x v="4"/>
  </r>
  <r>
    <s v="ORD10424"/>
    <d v="2025-05-20T00:00:00"/>
    <s v="Ananya Gupta"/>
    <s v="Technology"/>
    <s v="Laptops"/>
    <x v="12"/>
    <s v="East"/>
    <s v="West Bengal"/>
    <n v="458080"/>
    <n v="8"/>
    <n v="0"/>
    <n v="92347.46"/>
    <s v="Credit Card"/>
    <x v="1"/>
    <x v="7"/>
  </r>
  <r>
    <s v="ORD10425"/>
    <d v="2025-10-05T00:00:00"/>
    <s v="Aditya Mehta"/>
    <s v="Office Supplies"/>
    <s v="Staplers"/>
    <x v="7"/>
    <s v="West"/>
    <s v="Goa"/>
    <n v="1763.2"/>
    <n v="2"/>
    <n v="0.2"/>
    <n v="150.97"/>
    <s v="Credit Card"/>
    <x v="1"/>
    <x v="2"/>
  </r>
  <r>
    <s v="ORD10426"/>
    <d v="2024-11-01T00:00:00"/>
    <s v="Sneha Joshi"/>
    <s v="Technology"/>
    <s v="Smartphones"/>
    <x v="1"/>
    <s v="South"/>
    <s v="Karnataka"/>
    <n v="17308.8"/>
    <n v="6"/>
    <n v="0.2"/>
    <n v="3420.27"/>
    <s v="UPI"/>
    <x v="0"/>
    <x v="11"/>
  </r>
  <r>
    <s v="ORD10427"/>
    <d v="2024-02-06T00:00:00"/>
    <s v="Priya Singh"/>
    <s v="Technology"/>
    <s v="Laptops"/>
    <x v="44"/>
    <s v="West"/>
    <s v="Gujarat"/>
    <n v="164992"/>
    <n v="5"/>
    <n v="0.2"/>
    <n v="16835.41"/>
    <s v="Debit Card"/>
    <x v="0"/>
    <x v="0"/>
  </r>
  <r>
    <s v="ORD10428"/>
    <d v="2024-10-08T00:00:00"/>
    <s v="Sneha Joshi"/>
    <s v="Furniture"/>
    <s v="Bookcases"/>
    <x v="27"/>
    <s v="West"/>
    <s v="Maharashtra"/>
    <n v="32454"/>
    <n v="2"/>
    <n v="0"/>
    <n v="7104.96"/>
    <s v="Net Banking"/>
    <x v="0"/>
    <x v="2"/>
  </r>
  <r>
    <s v="ORD10429"/>
    <d v="2025-12-24T00:00:00"/>
    <s v="Vikram Patel"/>
    <s v="Furniture"/>
    <s v="Cabinets"/>
    <x v="9"/>
    <s v="South"/>
    <s v="Tamil Nadu"/>
    <n v="2937.6"/>
    <n v="1"/>
    <n v="0.2"/>
    <n v="636.80999999999995"/>
    <s v="Cash"/>
    <x v="1"/>
    <x v="3"/>
  </r>
  <r>
    <s v="ORD10430"/>
    <d v="2024-08-26T00:00:00"/>
    <s v="Vikram Patel"/>
    <s v="Office Supplies"/>
    <s v="Pens"/>
    <x v="30"/>
    <s v="East"/>
    <s v="Bihar"/>
    <n v="16089.2"/>
    <n v="8"/>
    <n v="0.05"/>
    <n v="3929.51"/>
    <s v="Credit Card"/>
    <x v="0"/>
    <x v="9"/>
  </r>
  <r>
    <s v="ORD10431"/>
    <d v="2024-12-24T00:00:00"/>
    <s v="Aditya Mehta"/>
    <s v="Technology"/>
    <s v="Laptops"/>
    <x v="43"/>
    <s v="North"/>
    <s v="Uttar Pradesh"/>
    <n v="84201"/>
    <n v="2"/>
    <n v="0.15"/>
    <n v="4344.6400000000003"/>
    <s v="Credit Card"/>
    <x v="0"/>
    <x v="3"/>
  </r>
  <r>
    <s v="ORD10432"/>
    <d v="2024-04-26T00:00:00"/>
    <s v="Sneha Joshi"/>
    <s v="Technology"/>
    <s v="Smartphones"/>
    <x v="10"/>
    <s v="East"/>
    <s v="Bihar"/>
    <n v="93955.5"/>
    <n v="5"/>
    <n v="0.1"/>
    <n v="19580.939999999999"/>
    <s v="Debit Card"/>
    <x v="0"/>
    <x v="5"/>
  </r>
  <r>
    <s v="ORD10433"/>
    <d v="2025-10-23T00:00:00"/>
    <s v="Rahul Verma"/>
    <s v="Furniture"/>
    <s v="Cabinets"/>
    <x v="40"/>
    <s v="North"/>
    <s v="Punjab"/>
    <n v="60552.3"/>
    <n v="6"/>
    <n v="0.15"/>
    <n v="12228.59"/>
    <s v="Cash"/>
    <x v="1"/>
    <x v="2"/>
  </r>
  <r>
    <s v="ORD10434"/>
    <d v="2024-11-19T00:00:00"/>
    <s v="Aditya Mehta"/>
    <s v="Technology"/>
    <s v="Keyboards"/>
    <x v="15"/>
    <s v="East"/>
    <s v="Jharkhand"/>
    <n v="44743.199999999997"/>
    <n v="1"/>
    <n v="0.2"/>
    <n v="7829.74"/>
    <s v="Net Banking"/>
    <x v="0"/>
    <x v="11"/>
  </r>
  <r>
    <s v="ORD10435"/>
    <d v="2024-06-18T00:00:00"/>
    <s v="Pooja Mishra"/>
    <s v="Technology"/>
    <s v="Smartphones"/>
    <x v="10"/>
    <s v="East"/>
    <s v="Bihar"/>
    <n v="49929"/>
    <n v="3"/>
    <n v="0.15"/>
    <n v="8378.19"/>
    <s v="Net Banking"/>
    <x v="0"/>
    <x v="1"/>
  </r>
  <r>
    <s v="ORD10436"/>
    <d v="2024-08-31T00:00:00"/>
    <s v="Sneha Joshi"/>
    <s v="Furniture"/>
    <s v="Desks"/>
    <x v="36"/>
    <s v="North"/>
    <s v="Haryana"/>
    <n v="9363.6"/>
    <n v="6"/>
    <n v="0.15"/>
    <n v="560.5"/>
    <s v="Cash"/>
    <x v="0"/>
    <x v="9"/>
  </r>
  <r>
    <s v="ORD10437"/>
    <d v="2024-01-26T00:00:00"/>
    <s v="Neha Yadav"/>
    <s v="Furniture"/>
    <s v="Desks"/>
    <x v="2"/>
    <s v="East"/>
    <s v="Odisha"/>
    <n v="12150"/>
    <n v="6"/>
    <n v="0"/>
    <n v="2050.37"/>
    <s v="Net Banking"/>
    <x v="0"/>
    <x v="6"/>
  </r>
  <r>
    <s v="ORD10438"/>
    <d v="2025-06-12T00:00:00"/>
    <s v="Rahul Verma"/>
    <s v="Technology"/>
    <s v="Smartphones"/>
    <x v="1"/>
    <s v="East"/>
    <s v="Jharkhand"/>
    <n v="260125"/>
    <n v="5"/>
    <n v="0"/>
    <n v="63581.760000000002"/>
    <s v="Credit Card"/>
    <x v="1"/>
    <x v="1"/>
  </r>
  <r>
    <s v="ORD10439"/>
    <d v="2024-12-07T00:00:00"/>
    <s v="Neha Yadav"/>
    <s v="Office Supplies"/>
    <s v="Paper"/>
    <x v="42"/>
    <s v="West"/>
    <s v="Goa"/>
    <n v="448"/>
    <n v="2"/>
    <n v="0.2"/>
    <n v="91.56"/>
    <s v="UPI"/>
    <x v="0"/>
    <x v="3"/>
  </r>
  <r>
    <s v="ORD10440"/>
    <d v="2024-10-10T00:00:00"/>
    <s v="Aditya Mehta"/>
    <s v="Technology"/>
    <s v="Printers"/>
    <x v="33"/>
    <s v="East"/>
    <s v="West Bengal"/>
    <n v="204568.25"/>
    <n v="5"/>
    <n v="0.05"/>
    <n v="21686.1"/>
    <s v="Debit Card"/>
    <x v="0"/>
    <x v="2"/>
  </r>
  <r>
    <s v="ORD10441"/>
    <d v="2025-07-09T00:00:00"/>
    <s v="Sneha Joshi"/>
    <s v="Furniture"/>
    <s v="Chairs"/>
    <x v="5"/>
    <s v="East"/>
    <s v="Odisha"/>
    <n v="5196"/>
    <n v="5"/>
    <n v="0.2"/>
    <n v="262.27"/>
    <s v="Net Banking"/>
    <x v="1"/>
    <x v="4"/>
  </r>
  <r>
    <s v="ORD10442"/>
    <d v="2025-07-07T00:00:00"/>
    <s v="Neha Yadav"/>
    <s v="Furniture"/>
    <s v="Bookcases"/>
    <x v="32"/>
    <s v="South"/>
    <s v="Telangana"/>
    <n v="10028.799999999999"/>
    <n v="4"/>
    <n v="0.2"/>
    <n v="2090.4899999999998"/>
    <s v="UPI"/>
    <x v="1"/>
    <x v="4"/>
  </r>
  <r>
    <s v="ORD10443"/>
    <d v="2025-09-02T00:00:00"/>
    <s v="Pooja Mishra"/>
    <s v="Technology"/>
    <s v="Laptops"/>
    <x v="44"/>
    <s v="West"/>
    <s v="Maharashtra"/>
    <n v="28113.75"/>
    <n v="7"/>
    <n v="0.15"/>
    <n v="2201.21"/>
    <s v="Cash"/>
    <x v="1"/>
    <x v="10"/>
  </r>
  <r>
    <s v="ORD10444"/>
    <d v="2025-12-16T00:00:00"/>
    <s v="Neha Yadav"/>
    <s v="Office Supplies"/>
    <s v="Pens"/>
    <x v="30"/>
    <s v="East"/>
    <s v="Bihar"/>
    <n v="4607.5"/>
    <n v="2"/>
    <n v="0.05"/>
    <n v="396.63"/>
    <s v="UPI"/>
    <x v="1"/>
    <x v="3"/>
  </r>
  <r>
    <s v="ORD10445"/>
    <d v="2025-11-12T00:00:00"/>
    <s v="Sneha Joshi"/>
    <s v="Furniture"/>
    <s v="Bookcases"/>
    <x v="19"/>
    <s v="West"/>
    <s v="Goa"/>
    <n v="31467"/>
    <n v="4"/>
    <n v="0.15"/>
    <n v="2491.2600000000002"/>
    <s v="Debit Card"/>
    <x v="1"/>
    <x v="11"/>
  </r>
  <r>
    <s v="ORD10446"/>
    <d v="2024-12-22T00:00:00"/>
    <s v="Pooja Mishra"/>
    <s v="Furniture"/>
    <s v="Tables"/>
    <x v="31"/>
    <s v="North"/>
    <s v="Delhi"/>
    <n v="31319.599999999999"/>
    <n v="2"/>
    <n v="0.05"/>
    <n v="3882.11"/>
    <s v="Net Banking"/>
    <x v="0"/>
    <x v="3"/>
  </r>
  <r>
    <s v="ORD10447"/>
    <d v="2025-08-27T00:00:00"/>
    <s v="Rohan Khan"/>
    <s v="Technology"/>
    <s v="Printers"/>
    <x v="33"/>
    <s v="North"/>
    <s v="Uttar Pradesh"/>
    <n v="36089.599999999999"/>
    <n v="2"/>
    <n v="0.2"/>
    <n v="4409.97"/>
    <s v="Credit Card"/>
    <x v="1"/>
    <x v="9"/>
  </r>
  <r>
    <s v="ORD10448"/>
    <d v="2024-12-16T00:00:00"/>
    <s v="Aditya Mehta"/>
    <s v="Office Supplies"/>
    <s v="Binders"/>
    <x v="4"/>
    <s v="South"/>
    <s v="Kerala"/>
    <n v="3170.5"/>
    <n v="2"/>
    <n v="0.15"/>
    <n v="494.41"/>
    <s v="Credit Card"/>
    <x v="0"/>
    <x v="3"/>
  </r>
  <r>
    <s v="ORD10449"/>
    <d v="2025-02-19T00:00:00"/>
    <s v="Priya Singh"/>
    <s v="Technology"/>
    <s v="Laptops"/>
    <x v="43"/>
    <s v="West"/>
    <s v="Maharashtra"/>
    <n v="171174.8"/>
    <n v="8"/>
    <n v="0.05"/>
    <n v="22099.89"/>
    <s v="Net Banking"/>
    <x v="1"/>
    <x v="0"/>
  </r>
  <r>
    <s v="ORD10450"/>
    <d v="2025-10-13T00:00:00"/>
    <s v="Aarav Sharma"/>
    <s v="Technology"/>
    <s v="Printers"/>
    <x v="39"/>
    <s v="West"/>
    <s v="Rajasthan"/>
    <n v="5706.4"/>
    <n v="1"/>
    <n v="0.2"/>
    <n v="1202.06"/>
    <s v="Credit Card"/>
    <x v="1"/>
    <x v="2"/>
  </r>
  <r>
    <s v="ORD10451"/>
    <d v="2025-11-26T00:00:00"/>
    <s v="Vikram Patel"/>
    <s v="Office Supplies"/>
    <s v="Binders"/>
    <x v="4"/>
    <s v="West"/>
    <s v="Rajasthan"/>
    <n v="10051.200000000001"/>
    <n v="8"/>
    <n v="0.1"/>
    <n v="1699.21"/>
    <s v="Cash"/>
    <x v="1"/>
    <x v="11"/>
  </r>
  <r>
    <s v="ORD10452"/>
    <d v="2025-07-16T00:00:00"/>
    <s v="Aarav Sharma"/>
    <s v="Office Supplies"/>
    <s v="Pens"/>
    <x v="41"/>
    <s v="North"/>
    <s v="Delhi"/>
    <n v="9128"/>
    <n v="7"/>
    <n v="0"/>
    <n v="1404.29"/>
    <s v="UPI"/>
    <x v="1"/>
    <x v="4"/>
  </r>
  <r>
    <s v="ORD10453"/>
    <d v="2025-02-19T00:00:00"/>
    <s v="Rohan Khan"/>
    <s v="Office Supplies"/>
    <s v="Storage Boxes"/>
    <x v="6"/>
    <s v="East"/>
    <s v="West Bengal"/>
    <n v="1542.6"/>
    <n v="1"/>
    <n v="0.1"/>
    <n v="304.44"/>
    <s v="Cash"/>
    <x v="1"/>
    <x v="0"/>
  </r>
  <r>
    <s v="ORD10454"/>
    <d v="2025-11-17T00:00:00"/>
    <s v="Rahul Verma"/>
    <s v="Office Supplies"/>
    <s v="Binders"/>
    <x v="34"/>
    <s v="South"/>
    <s v="Kerala"/>
    <n v="5355"/>
    <n v="4"/>
    <n v="0.15"/>
    <n v="392.81"/>
    <s v="Credit Card"/>
    <x v="1"/>
    <x v="11"/>
  </r>
  <r>
    <s v="ORD10455"/>
    <d v="2025-03-01T00:00:00"/>
    <s v="Neha Yadav"/>
    <s v="Technology"/>
    <s v="Laptops"/>
    <x v="43"/>
    <s v="North"/>
    <s v="Punjab"/>
    <n v="354536"/>
    <n v="8"/>
    <n v="0"/>
    <n v="38092.79"/>
    <s v="Net Banking"/>
    <x v="1"/>
    <x v="8"/>
  </r>
  <r>
    <s v="ORD10456"/>
    <d v="2025-03-10T00:00:00"/>
    <s v="Pooja Mishra"/>
    <s v="Furniture"/>
    <s v="Cabinets"/>
    <x v="9"/>
    <s v="South"/>
    <s v="Kerala"/>
    <n v="97946.1"/>
    <n v="7"/>
    <n v="0.1"/>
    <n v="9809.1200000000008"/>
    <s v="UPI"/>
    <x v="1"/>
    <x v="8"/>
  </r>
  <r>
    <s v="ORD10457"/>
    <d v="2024-04-25T00:00:00"/>
    <s v="Pooja Mishra"/>
    <s v="Office Supplies"/>
    <s v="Staplers"/>
    <x v="7"/>
    <s v="South"/>
    <s v="Telangana"/>
    <n v="12377.7"/>
    <n v="6"/>
    <n v="0.15"/>
    <n v="2271.02"/>
    <s v="Cash"/>
    <x v="0"/>
    <x v="5"/>
  </r>
  <r>
    <s v="ORD10458"/>
    <d v="2025-11-10T00:00:00"/>
    <s v="Priya Singh"/>
    <s v="Office Supplies"/>
    <s v="Paper"/>
    <x v="37"/>
    <s v="South"/>
    <s v="Telangana"/>
    <n v="1876.8"/>
    <n v="2"/>
    <n v="0.15"/>
    <n v="316.49"/>
    <s v="Net Banking"/>
    <x v="1"/>
    <x v="11"/>
  </r>
  <r>
    <s v="ORD10459"/>
    <d v="2024-12-05T00:00:00"/>
    <s v="Rohan Khan"/>
    <s v="Office Supplies"/>
    <s v="Pens"/>
    <x v="41"/>
    <s v="North"/>
    <s v="Haryana"/>
    <n v="1869.15"/>
    <n v="1"/>
    <n v="0.15"/>
    <n v="294"/>
    <s v="Debit Card"/>
    <x v="0"/>
    <x v="3"/>
  </r>
  <r>
    <s v="ORD10460"/>
    <d v="2025-08-09T00:00:00"/>
    <s v="Aarav Sharma"/>
    <s v="Furniture"/>
    <s v="Bookcases"/>
    <x v="32"/>
    <s v="South"/>
    <s v="Karnataka"/>
    <n v="39669.5"/>
    <n v="5"/>
    <n v="0.15"/>
    <n v="6272.87"/>
    <s v="Debit Card"/>
    <x v="1"/>
    <x v="9"/>
  </r>
  <r>
    <s v="ORD10461"/>
    <d v="2025-09-22T00:00:00"/>
    <s v="Vikram Patel"/>
    <s v="Office Supplies"/>
    <s v="Storage Boxes"/>
    <x v="6"/>
    <s v="North"/>
    <s v="Haryana"/>
    <n v="745.2"/>
    <n v="2"/>
    <n v="0.1"/>
    <n v="78.55"/>
    <s v="Debit Card"/>
    <x v="1"/>
    <x v="10"/>
  </r>
  <r>
    <s v="ORD10462"/>
    <d v="2025-12-18T00:00:00"/>
    <s v="Ananya Gupta"/>
    <s v="Furniture"/>
    <s v="Chairs"/>
    <x v="23"/>
    <s v="North"/>
    <s v="Punjab"/>
    <n v="43989.75"/>
    <n v="3"/>
    <n v="0.05"/>
    <n v="5267.8"/>
    <s v="Cash"/>
    <x v="1"/>
    <x v="3"/>
  </r>
  <r>
    <s v="ORD10463"/>
    <d v="2024-08-31T00:00:00"/>
    <s v="Neha Yadav"/>
    <s v="Technology"/>
    <s v="Printers"/>
    <x v="35"/>
    <s v="North"/>
    <s v="Haryana"/>
    <n v="102583.95"/>
    <n v="3"/>
    <n v="0.15"/>
    <n v="20165.29"/>
    <s v="Credit Card"/>
    <x v="0"/>
    <x v="9"/>
  </r>
  <r>
    <s v="ORD10464"/>
    <d v="2025-05-02T00:00:00"/>
    <s v="Vikram Patel"/>
    <s v="Technology"/>
    <s v="Printers"/>
    <x v="33"/>
    <s v="East"/>
    <s v="West Bengal"/>
    <n v="240877.25"/>
    <n v="5"/>
    <n v="0.05"/>
    <n v="38613.339999999997"/>
    <s v="Cash"/>
    <x v="1"/>
    <x v="7"/>
  </r>
  <r>
    <s v="ORD10465"/>
    <d v="2024-01-13T00:00:00"/>
    <s v="Vikram Patel"/>
    <s v="Office Supplies"/>
    <s v="Storage Boxes"/>
    <x v="18"/>
    <s v="South"/>
    <s v="Kerala"/>
    <n v="3886.4"/>
    <n v="7"/>
    <n v="0.2"/>
    <n v="793.04"/>
    <s v="Cash"/>
    <x v="0"/>
    <x v="6"/>
  </r>
  <r>
    <s v="ORD10466"/>
    <d v="2024-04-10T00:00:00"/>
    <s v="Vikram Patel"/>
    <s v="Furniture"/>
    <s v="Bookcases"/>
    <x v="32"/>
    <s v="North"/>
    <s v="Delhi"/>
    <n v="80719.199999999997"/>
    <n v="6"/>
    <n v="0.1"/>
    <n v="8803.66"/>
    <s v="Net Banking"/>
    <x v="0"/>
    <x v="5"/>
  </r>
  <r>
    <s v="ORD10467"/>
    <d v="2024-01-09T00:00:00"/>
    <s v="Priya Singh"/>
    <s v="Furniture"/>
    <s v="Tables"/>
    <x v="24"/>
    <s v="South"/>
    <s v="Tamil Nadu"/>
    <n v="32136"/>
    <n v="6"/>
    <n v="0.2"/>
    <n v="1032.07"/>
    <s v="UPI"/>
    <x v="0"/>
    <x v="6"/>
  </r>
  <r>
    <s v="ORD10468"/>
    <d v="2025-09-26T00:00:00"/>
    <s v="Priya Singh"/>
    <s v="Furniture"/>
    <s v="Chairs"/>
    <x v="25"/>
    <s v="North"/>
    <s v="Uttar Pradesh"/>
    <n v="38315.4"/>
    <n v="4"/>
    <n v="0.05"/>
    <n v="2847.15"/>
    <s v="UPI"/>
    <x v="1"/>
    <x v="10"/>
  </r>
  <r>
    <s v="ORD10469"/>
    <d v="2025-04-23T00:00:00"/>
    <s v="Priya Singh"/>
    <s v="Office Supplies"/>
    <s v="Binders"/>
    <x v="34"/>
    <s v="North"/>
    <s v="Delhi"/>
    <n v="1578.9"/>
    <n v="3"/>
    <n v="0.05"/>
    <n v="186.57"/>
    <s v="Cash"/>
    <x v="1"/>
    <x v="5"/>
  </r>
  <r>
    <s v="ORD10470"/>
    <d v="2024-03-02T00:00:00"/>
    <s v="Vikram Patel"/>
    <s v="Furniture"/>
    <s v="Tables"/>
    <x v="26"/>
    <s v="East"/>
    <s v="Bihar"/>
    <n v="4834.8"/>
    <n v="2"/>
    <n v="0.15"/>
    <n v="527.14"/>
    <s v="Debit Card"/>
    <x v="0"/>
    <x v="8"/>
  </r>
  <r>
    <s v="ORD10471"/>
    <d v="2025-03-17T00:00:00"/>
    <s v="Ananya Gupta"/>
    <s v="Technology"/>
    <s v="Keyboards"/>
    <x v="28"/>
    <s v="North"/>
    <s v="Uttar Pradesh"/>
    <n v="85745.1"/>
    <n v="7"/>
    <n v="0.05"/>
    <n v="15059.11"/>
    <s v="Net Banking"/>
    <x v="1"/>
    <x v="8"/>
  </r>
  <r>
    <s v="ORD10472"/>
    <d v="2024-01-20T00:00:00"/>
    <s v="Neha Yadav"/>
    <s v="Office Supplies"/>
    <s v="Paper"/>
    <x v="0"/>
    <s v="West"/>
    <s v="Rajasthan"/>
    <n v="2196"/>
    <n v="1"/>
    <n v="0.1"/>
    <n v="462.14"/>
    <s v="Credit Card"/>
    <x v="0"/>
    <x v="6"/>
  </r>
  <r>
    <s v="ORD10473"/>
    <d v="2025-12-25T00:00:00"/>
    <s v="Neha Yadav"/>
    <s v="Office Supplies"/>
    <s v="Paper"/>
    <x v="37"/>
    <s v="North"/>
    <s v="Uttar Pradesh"/>
    <n v="4084.8"/>
    <n v="3"/>
    <n v="0.2"/>
    <n v="125.57"/>
    <s v="Cash"/>
    <x v="1"/>
    <x v="3"/>
  </r>
  <r>
    <s v="ORD10474"/>
    <d v="2025-01-02T00:00:00"/>
    <s v="Sneha Joshi"/>
    <s v="Furniture"/>
    <s v="Tables"/>
    <x v="26"/>
    <s v="North"/>
    <s v="Punjab"/>
    <n v="92937.600000000006"/>
    <n v="7"/>
    <n v="0.2"/>
    <n v="12738.1"/>
    <s v="Debit Card"/>
    <x v="1"/>
    <x v="6"/>
  </r>
  <r>
    <s v="ORD10475"/>
    <d v="2024-02-10T00:00:00"/>
    <s v="Rohan Khan"/>
    <s v="Furniture"/>
    <s v="Chairs"/>
    <x v="23"/>
    <s v="North"/>
    <s v="Haryana"/>
    <n v="90407.7"/>
    <n v="6"/>
    <n v="0.05"/>
    <n v="9296.0499999999993"/>
    <s v="Credit Card"/>
    <x v="0"/>
    <x v="0"/>
  </r>
  <r>
    <s v="ORD10476"/>
    <d v="2024-01-26T00:00:00"/>
    <s v="Pooja Mishra"/>
    <s v="Furniture"/>
    <s v="Tables"/>
    <x v="31"/>
    <s v="North"/>
    <s v="Haryana"/>
    <n v="28786.9"/>
    <n v="2"/>
    <n v="0.05"/>
    <n v="2148.64"/>
    <s v="Credit Card"/>
    <x v="0"/>
    <x v="6"/>
  </r>
  <r>
    <s v="ORD10477"/>
    <d v="2024-02-13T00:00:00"/>
    <s v="Rohan Khan"/>
    <s v="Furniture"/>
    <s v="Tables"/>
    <x v="31"/>
    <s v="North"/>
    <s v="Haryana"/>
    <n v="9626.4"/>
    <n v="8"/>
    <n v="0.1"/>
    <n v="637.37"/>
    <s v="UPI"/>
    <x v="0"/>
    <x v="0"/>
  </r>
  <r>
    <s v="ORD10478"/>
    <d v="2024-01-20T00:00:00"/>
    <s v="Neha Yadav"/>
    <s v="Technology"/>
    <s v="Printers"/>
    <x v="33"/>
    <s v="West"/>
    <s v="Gujarat"/>
    <n v="234870.39999999999"/>
    <n v="4"/>
    <n v="0.05"/>
    <n v="38819.129999999997"/>
    <s v="Net Banking"/>
    <x v="0"/>
    <x v="6"/>
  </r>
  <r>
    <s v="ORD10479"/>
    <d v="2025-08-28T00:00:00"/>
    <s v="Priya Singh"/>
    <s v="Technology"/>
    <s v="Smartphones"/>
    <x v="10"/>
    <s v="South"/>
    <s v="Karnataka"/>
    <n v="51413.95"/>
    <n v="1"/>
    <n v="0.15"/>
    <n v="8470.2000000000007"/>
    <s v="UPI"/>
    <x v="1"/>
    <x v="9"/>
  </r>
  <r>
    <s v="ORD10480"/>
    <d v="2025-08-12T00:00:00"/>
    <s v="Aditya Mehta"/>
    <s v="Technology"/>
    <s v="Keyboards"/>
    <x v="28"/>
    <s v="South"/>
    <s v="Karnataka"/>
    <n v="163156"/>
    <n v="7"/>
    <n v="0"/>
    <n v="44895.74"/>
    <s v="Credit Card"/>
    <x v="1"/>
    <x v="9"/>
  </r>
  <r>
    <s v="ORD10481"/>
    <d v="2025-01-13T00:00:00"/>
    <s v="Aditya Mehta"/>
    <s v="Furniture"/>
    <s v="Desks"/>
    <x v="17"/>
    <s v="North"/>
    <s v="Punjab"/>
    <n v="16615.8"/>
    <n v="2"/>
    <n v="0.15"/>
    <n v="1264.6300000000001"/>
    <s v="Credit Card"/>
    <x v="1"/>
    <x v="6"/>
  </r>
  <r>
    <s v="ORD10482"/>
    <d v="2024-01-08T00:00:00"/>
    <s v="Rahul Verma"/>
    <s v="Furniture"/>
    <s v="Desks"/>
    <x v="2"/>
    <s v="North"/>
    <s v="Punjab"/>
    <n v="35515.550000000003"/>
    <n v="7"/>
    <n v="0.15"/>
    <n v="2082.79"/>
    <s v="UPI"/>
    <x v="0"/>
    <x v="6"/>
  </r>
  <r>
    <s v="ORD10483"/>
    <d v="2025-06-19T00:00:00"/>
    <s v="Neha Yadav"/>
    <s v="Office Supplies"/>
    <s v="Storage Boxes"/>
    <x v="18"/>
    <s v="East"/>
    <s v="Jharkhand"/>
    <n v="7174.4"/>
    <n v="8"/>
    <n v="0.05"/>
    <n v="1402.35"/>
    <s v="Cash"/>
    <x v="1"/>
    <x v="1"/>
  </r>
  <r>
    <s v="ORD10484"/>
    <d v="2025-07-25T00:00:00"/>
    <s v="Ananya Gupta"/>
    <s v="Technology"/>
    <s v="Smartphones"/>
    <x v="1"/>
    <s v="North"/>
    <s v="Punjab"/>
    <n v="297439.2"/>
    <n v="8"/>
    <n v="0.1"/>
    <n v="41271.82"/>
    <s v="Credit Card"/>
    <x v="1"/>
    <x v="4"/>
  </r>
  <r>
    <s v="ORD10485"/>
    <d v="2024-06-01T00:00:00"/>
    <s v="Neha Yadav"/>
    <s v="Technology"/>
    <s v="Printers"/>
    <x v="33"/>
    <s v="North"/>
    <s v="Haryana"/>
    <n v="126488"/>
    <n v="4"/>
    <n v="0"/>
    <n v="15019.67"/>
    <s v="Cash"/>
    <x v="0"/>
    <x v="1"/>
  </r>
  <r>
    <s v="ORD10486"/>
    <d v="2025-04-09T00:00:00"/>
    <s v="Aarav Sharma"/>
    <s v="Technology"/>
    <s v="Smartphones"/>
    <x v="1"/>
    <s v="North"/>
    <s v="Delhi"/>
    <n v="107357.4"/>
    <n v="6"/>
    <n v="0.1"/>
    <n v="13082.46"/>
    <s v="UPI"/>
    <x v="1"/>
    <x v="5"/>
  </r>
  <r>
    <s v="ORD10487"/>
    <d v="2025-08-29T00:00:00"/>
    <s v="Pooja Mishra"/>
    <s v="Office Supplies"/>
    <s v="Paper"/>
    <x v="0"/>
    <s v="South"/>
    <s v="Tamil Nadu"/>
    <n v="2964"/>
    <n v="8"/>
    <n v="0.05"/>
    <n v="627.72"/>
    <s v="Debit Card"/>
    <x v="1"/>
    <x v="9"/>
  </r>
  <r>
    <s v="ORD10488"/>
    <d v="2025-01-19T00:00:00"/>
    <s v="Ananya Gupta"/>
    <s v="Furniture"/>
    <s v="Desks"/>
    <x v="2"/>
    <s v="East"/>
    <s v="Odisha"/>
    <n v="20466.3"/>
    <n v="6"/>
    <n v="0.15"/>
    <n v="4430.49"/>
    <s v="UPI"/>
    <x v="1"/>
    <x v="6"/>
  </r>
  <r>
    <s v="ORD10489"/>
    <d v="2025-04-13T00:00:00"/>
    <s v="Ananya Gupta"/>
    <s v="Furniture"/>
    <s v="Cabinets"/>
    <x v="38"/>
    <s v="West"/>
    <s v="Maharashtra"/>
    <n v="40057.949999999997"/>
    <n v="3"/>
    <n v="0.15"/>
    <n v="4694.67"/>
    <s v="Debit Card"/>
    <x v="1"/>
    <x v="5"/>
  </r>
  <r>
    <s v="ORD10490"/>
    <d v="2024-06-24T00:00:00"/>
    <s v="Sneha Joshi"/>
    <s v="Furniture"/>
    <s v="Desks"/>
    <x v="2"/>
    <s v="East"/>
    <s v="Odisha"/>
    <n v="4481.2"/>
    <n v="1"/>
    <n v="0.15"/>
    <n v="601.45000000000005"/>
    <s v="Credit Card"/>
    <x v="0"/>
    <x v="1"/>
  </r>
  <r>
    <s v="ORD10491"/>
    <d v="2024-08-09T00:00:00"/>
    <s v="Pooja Mishra"/>
    <s v="Furniture"/>
    <s v="Cabinets"/>
    <x v="9"/>
    <s v="South"/>
    <s v="Tamil Nadu"/>
    <n v="48586"/>
    <n v="4"/>
    <n v="0.15"/>
    <n v="10443.07"/>
    <s v="Cash"/>
    <x v="0"/>
    <x v="9"/>
  </r>
  <r>
    <s v="ORD10492"/>
    <d v="2025-08-28T00:00:00"/>
    <s v="Rahul Verma"/>
    <s v="Furniture"/>
    <s v="Bookcases"/>
    <x v="32"/>
    <s v="North"/>
    <s v="Uttar Pradesh"/>
    <n v="36876.800000000003"/>
    <n v="4"/>
    <n v="0.2"/>
    <n v="2746.63"/>
    <s v="Net Banking"/>
    <x v="1"/>
    <x v="9"/>
  </r>
  <r>
    <s v="ORD10493"/>
    <d v="2024-09-03T00:00:00"/>
    <s v="Priya Singh"/>
    <s v="Technology"/>
    <s v="Keyboards"/>
    <x v="15"/>
    <s v="North"/>
    <s v="Delhi"/>
    <n v="29098"/>
    <n v="1"/>
    <n v="0"/>
    <n v="4960.87"/>
    <s v="Net Banking"/>
    <x v="0"/>
    <x v="10"/>
  </r>
  <r>
    <s v="ORD10494"/>
    <d v="2024-06-14T00:00:00"/>
    <s v="Neha Yadav"/>
    <s v="Technology"/>
    <s v="Keyboards"/>
    <x v="15"/>
    <s v="South"/>
    <s v="Tamil Nadu"/>
    <n v="71684.75"/>
    <n v="5"/>
    <n v="0.15"/>
    <n v="12638.53"/>
    <s v="Net Banking"/>
    <x v="0"/>
    <x v="1"/>
  </r>
  <r>
    <s v="ORD10495"/>
    <d v="2025-12-21T00:00:00"/>
    <s v="Aarav Sharma"/>
    <s v="Office Supplies"/>
    <s v="Storage Boxes"/>
    <x v="6"/>
    <s v="North"/>
    <s v="Uttar Pradesh"/>
    <n v="2313.9"/>
    <n v="3"/>
    <n v="0.1"/>
    <n v="417.34"/>
    <s v="UPI"/>
    <x v="1"/>
    <x v="3"/>
  </r>
  <r>
    <s v="ORD10496"/>
    <d v="2024-02-26T00:00:00"/>
    <s v="Aditya Mehta"/>
    <s v="Furniture"/>
    <s v="Bookcases"/>
    <x v="27"/>
    <s v="North"/>
    <s v="Haryana"/>
    <n v="30348"/>
    <n v="5"/>
    <n v="0.2"/>
    <n v="6256.83"/>
    <s v="Debit Card"/>
    <x v="0"/>
    <x v="0"/>
  </r>
  <r>
    <s v="ORD10497"/>
    <d v="2025-07-28T00:00:00"/>
    <s v="Ananya Gupta"/>
    <s v="Technology"/>
    <s v="Laptops"/>
    <x v="12"/>
    <s v="West"/>
    <s v="Rajasthan"/>
    <n v="20126.400000000001"/>
    <n v="1"/>
    <n v="0.2"/>
    <n v="3441.11"/>
    <s v="Credit Card"/>
    <x v="1"/>
    <x v="4"/>
  </r>
  <r>
    <s v="ORD10498"/>
    <d v="2025-05-30T00:00:00"/>
    <s v="Rohan Khan"/>
    <s v="Furniture"/>
    <s v="Desks"/>
    <x v="36"/>
    <s v="North"/>
    <s v="Uttar Pradesh"/>
    <n v="29473.200000000001"/>
    <n v="4"/>
    <n v="0.1"/>
    <n v="6914.02"/>
    <s v="Debit Card"/>
    <x v="1"/>
    <x v="7"/>
  </r>
  <r>
    <s v="ORD10499"/>
    <d v="2025-06-29T00:00:00"/>
    <s v="Vikram Patel"/>
    <s v="Technology"/>
    <s v="Laptops"/>
    <x v="12"/>
    <s v="East"/>
    <s v="Bihar"/>
    <n v="218003.20000000001"/>
    <n v="8"/>
    <n v="0.2"/>
    <n v="36114.769999999997"/>
    <s v="Cash"/>
    <x v="1"/>
    <x v="1"/>
  </r>
  <r>
    <s v="ORD10500"/>
    <d v="2024-03-19T00:00:00"/>
    <s v="Priya Singh"/>
    <s v="Office Supplies"/>
    <s v="Pens"/>
    <x v="8"/>
    <s v="North"/>
    <s v="Punjab"/>
    <n v="1497.6"/>
    <n v="2"/>
    <n v="0.1"/>
    <n v="369.38"/>
    <s v="Credit Card"/>
    <x v="0"/>
    <x v="8"/>
  </r>
  <r>
    <s v="ORD10501"/>
    <d v="2025-07-08T00:00:00"/>
    <s v="Rahul Verma"/>
    <s v="Furniture"/>
    <s v="Chairs"/>
    <x v="5"/>
    <s v="South"/>
    <s v="Kerala"/>
    <n v="5246.2"/>
    <n v="4"/>
    <n v="0.15"/>
    <n v="1240.28"/>
    <s v="Cash"/>
    <x v="1"/>
    <x v="4"/>
  </r>
  <r>
    <s v="ORD10502"/>
    <d v="2025-02-25T00:00:00"/>
    <s v="Pooja Mishra"/>
    <s v="Furniture"/>
    <s v="Tables"/>
    <x v="31"/>
    <s v="West"/>
    <s v="Maharashtra"/>
    <n v="4870.3999999999996"/>
    <n v="4"/>
    <n v="0.2"/>
    <n v="774.07"/>
    <s v="Debit Card"/>
    <x v="1"/>
    <x v="0"/>
  </r>
  <r>
    <s v="ORD10503"/>
    <d v="2024-08-20T00:00:00"/>
    <s v="Neha Yadav"/>
    <s v="Office Supplies"/>
    <s v="Pens"/>
    <x v="8"/>
    <s v="West"/>
    <s v="Goa"/>
    <n v="6436.25"/>
    <n v="5"/>
    <n v="0.05"/>
    <n v="1450.43"/>
    <s v="Debit Card"/>
    <x v="0"/>
    <x v="9"/>
  </r>
  <r>
    <s v="ORD10504"/>
    <d v="2024-06-28T00:00:00"/>
    <s v="Rahul Verma"/>
    <s v="Furniture"/>
    <s v="Chairs"/>
    <x v="25"/>
    <s v="South"/>
    <s v="Telangana"/>
    <n v="40006.400000000001"/>
    <n v="8"/>
    <n v="0.2"/>
    <n v="3482.53"/>
    <s v="Credit Card"/>
    <x v="0"/>
    <x v="1"/>
  </r>
  <r>
    <s v="ORD10505"/>
    <d v="2025-12-25T00:00:00"/>
    <s v="Aarav Sharma"/>
    <s v="Technology"/>
    <s v="Laptops"/>
    <x v="43"/>
    <s v="North"/>
    <s v="Haryana"/>
    <n v="85767.9"/>
    <n v="3"/>
    <n v="0.05"/>
    <n v="9308.48"/>
    <s v="Debit Card"/>
    <x v="1"/>
    <x v="3"/>
  </r>
  <r>
    <s v="ORD10506"/>
    <d v="2025-05-26T00:00:00"/>
    <s v="Rahul Verma"/>
    <s v="Furniture"/>
    <s v="Desks"/>
    <x v="36"/>
    <s v="East"/>
    <s v="Jharkhand"/>
    <n v="32043"/>
    <n v="3"/>
    <n v="0"/>
    <n v="5156.12"/>
    <s v="Cash"/>
    <x v="1"/>
    <x v="7"/>
  </r>
  <r>
    <s v="ORD10507"/>
    <d v="2025-03-28T00:00:00"/>
    <s v="Sneha Joshi"/>
    <s v="Furniture"/>
    <s v="Desks"/>
    <x v="36"/>
    <s v="North"/>
    <s v="Haryana"/>
    <n v="48910.75"/>
    <n v="5"/>
    <n v="0.05"/>
    <n v="11123.05"/>
    <s v="UPI"/>
    <x v="1"/>
    <x v="8"/>
  </r>
  <r>
    <s v="ORD10508"/>
    <d v="2025-04-01T00:00:00"/>
    <s v="Sneha Joshi"/>
    <s v="Office Supplies"/>
    <s v="Staplers"/>
    <x v="29"/>
    <s v="North"/>
    <s v="Punjab"/>
    <n v="2792"/>
    <n v="2"/>
    <n v="0.2"/>
    <n v="553.30999999999995"/>
    <s v="UPI"/>
    <x v="1"/>
    <x v="5"/>
  </r>
  <r>
    <s v="ORD10509"/>
    <d v="2024-03-30T00:00:00"/>
    <s v="Aditya Mehta"/>
    <s v="Furniture"/>
    <s v="Chairs"/>
    <x v="25"/>
    <s v="South"/>
    <s v="Tamil Nadu"/>
    <n v="12032.6"/>
    <n v="4"/>
    <n v="0.15"/>
    <n v="2140.75"/>
    <s v="Cash"/>
    <x v="0"/>
    <x v="8"/>
  </r>
  <r>
    <s v="ORD10510"/>
    <d v="2024-01-13T00:00:00"/>
    <s v="Vikram Patel"/>
    <s v="Technology"/>
    <s v="Keyboards"/>
    <x v="3"/>
    <s v="East"/>
    <s v="West Bengal"/>
    <n v="147171.6"/>
    <n v="6"/>
    <n v="0.1"/>
    <n v="19459.400000000001"/>
    <s v="Debit Card"/>
    <x v="0"/>
    <x v="6"/>
  </r>
  <r>
    <s v="ORD10511"/>
    <d v="2025-03-10T00:00:00"/>
    <s v="Rohan Khan"/>
    <s v="Furniture"/>
    <s v="Bookcases"/>
    <x v="19"/>
    <s v="West"/>
    <s v="Maharashtra"/>
    <n v="103809.60000000001"/>
    <n v="8"/>
    <n v="0.1"/>
    <n v="9110.1299999999992"/>
    <s v="Credit Card"/>
    <x v="1"/>
    <x v="8"/>
  </r>
  <r>
    <s v="ORD10512"/>
    <d v="2024-03-31T00:00:00"/>
    <s v="Aarav Sharma"/>
    <s v="Office Supplies"/>
    <s v="Storage Boxes"/>
    <x v="14"/>
    <s v="North"/>
    <s v="Punjab"/>
    <n v="1480"/>
    <n v="5"/>
    <n v="0.2"/>
    <n v="268.20999999999998"/>
    <s v="Cash"/>
    <x v="0"/>
    <x v="8"/>
  </r>
  <r>
    <s v="ORD10513"/>
    <d v="2024-10-23T00:00:00"/>
    <s v="Aditya Mehta"/>
    <s v="Office Supplies"/>
    <s v="Pens"/>
    <x v="41"/>
    <s v="West"/>
    <s v="Gujarat"/>
    <n v="6961.6"/>
    <n v="8"/>
    <n v="0.05"/>
    <n v="1628.71"/>
    <s v="Cash"/>
    <x v="0"/>
    <x v="2"/>
  </r>
  <r>
    <s v="ORD10514"/>
    <d v="2025-10-17T00:00:00"/>
    <s v="Neha Yadav"/>
    <s v="Technology"/>
    <s v="Monitors"/>
    <x v="16"/>
    <s v="East"/>
    <s v="Jharkhand"/>
    <n v="120946.4"/>
    <n v="8"/>
    <n v="0.05"/>
    <n v="14517.85"/>
    <s v="UPI"/>
    <x v="1"/>
    <x v="2"/>
  </r>
  <r>
    <s v="ORD10515"/>
    <d v="2024-03-09T00:00:00"/>
    <s v="Pooja Mishra"/>
    <s v="Office Supplies"/>
    <s v="Pens"/>
    <x v="8"/>
    <s v="West"/>
    <s v="Gujarat"/>
    <n v="4199"/>
    <n v="4"/>
    <n v="0.15"/>
    <n v="1013.5"/>
    <s v="Debit Card"/>
    <x v="0"/>
    <x v="8"/>
  </r>
  <r>
    <s v="ORD10516"/>
    <d v="2024-01-18T00:00:00"/>
    <s v="Vikram Patel"/>
    <s v="Office Supplies"/>
    <s v="Staplers"/>
    <x v="29"/>
    <s v="West"/>
    <s v="Rajasthan"/>
    <n v="10419.200000000001"/>
    <n v="8"/>
    <n v="0.2"/>
    <n v="1839.94"/>
    <s v="Credit Card"/>
    <x v="0"/>
    <x v="6"/>
  </r>
  <r>
    <s v="ORD10517"/>
    <d v="2025-10-13T00:00:00"/>
    <s v="Sneha Joshi"/>
    <s v="Office Supplies"/>
    <s v="Paper"/>
    <x v="37"/>
    <s v="South"/>
    <s v="Telangana"/>
    <n v="853.2"/>
    <n v="3"/>
    <n v="0.1"/>
    <n v="108.55"/>
    <s v="UPI"/>
    <x v="1"/>
    <x v="2"/>
  </r>
  <r>
    <s v="ORD10518"/>
    <d v="2024-11-19T00:00:00"/>
    <s v="Vikram Patel"/>
    <s v="Furniture"/>
    <s v="Bookcases"/>
    <x v="32"/>
    <s v="North"/>
    <s v="Punjab"/>
    <n v="9350.4"/>
    <n v="3"/>
    <n v="0.2"/>
    <n v="883.81"/>
    <s v="Debit Card"/>
    <x v="0"/>
    <x v="11"/>
  </r>
  <r>
    <s v="ORD10519"/>
    <d v="2025-02-25T00:00:00"/>
    <s v="Sneha Joshi"/>
    <s v="Office Supplies"/>
    <s v="Pens"/>
    <x v="30"/>
    <s v="North"/>
    <s v="Haryana"/>
    <n v="1126.8"/>
    <n v="1"/>
    <n v="0.1"/>
    <n v="237.49"/>
    <s v="Credit Card"/>
    <x v="1"/>
    <x v="0"/>
  </r>
  <r>
    <s v="ORD10520"/>
    <d v="2024-01-18T00:00:00"/>
    <s v="Neha Yadav"/>
    <s v="Technology"/>
    <s v="Smartphones"/>
    <x v="10"/>
    <s v="South"/>
    <s v="Tamil Nadu"/>
    <n v="57102"/>
    <n v="2"/>
    <n v="0"/>
    <n v="13919.69"/>
    <s v="Debit Card"/>
    <x v="0"/>
    <x v="6"/>
  </r>
  <r>
    <s v="ORD10521"/>
    <d v="2025-12-11T00:00:00"/>
    <s v="Rahul Verma"/>
    <s v="Furniture"/>
    <s v="Bookcases"/>
    <x v="32"/>
    <s v="South"/>
    <s v="Kerala"/>
    <n v="64698"/>
    <n v="6"/>
    <n v="0"/>
    <n v="8053.06"/>
    <s v="Credit Card"/>
    <x v="1"/>
    <x v="3"/>
  </r>
  <r>
    <s v="ORD10522"/>
    <d v="2025-03-17T00:00:00"/>
    <s v="Aarav Sharma"/>
    <s v="Furniture"/>
    <s v="Desks"/>
    <x v="2"/>
    <s v="South"/>
    <s v="Tamil Nadu"/>
    <n v="31220"/>
    <n v="7"/>
    <n v="0"/>
    <n v="7334.78"/>
    <s v="Credit Card"/>
    <x v="1"/>
    <x v="8"/>
  </r>
  <r>
    <s v="ORD10523"/>
    <d v="2024-05-06T00:00:00"/>
    <s v="Pooja Mishra"/>
    <s v="Technology"/>
    <s v="Laptops"/>
    <x v="44"/>
    <s v="North"/>
    <s v="Uttar Pradesh"/>
    <n v="20180"/>
    <n v="5"/>
    <n v="0"/>
    <n v="4659.76"/>
    <s v="Credit Card"/>
    <x v="0"/>
    <x v="7"/>
  </r>
  <r>
    <s v="ORD10524"/>
    <d v="2025-05-27T00:00:00"/>
    <s v="Pooja Mishra"/>
    <s v="Office Supplies"/>
    <s v="Binders"/>
    <x v="34"/>
    <s v="South"/>
    <s v="Telangana"/>
    <n v="4453.2"/>
    <n v="2"/>
    <n v="0.1"/>
    <n v="558.61"/>
    <s v="Credit Card"/>
    <x v="1"/>
    <x v="7"/>
  </r>
  <r>
    <s v="ORD10525"/>
    <d v="2025-07-04T00:00:00"/>
    <s v="Aarav Sharma"/>
    <s v="Office Supplies"/>
    <s v="Storage Boxes"/>
    <x v="18"/>
    <s v="North"/>
    <s v="Delhi"/>
    <n v="795.6"/>
    <n v="1"/>
    <n v="0.1"/>
    <n v="71.09"/>
    <s v="UPI"/>
    <x v="1"/>
    <x v="4"/>
  </r>
  <r>
    <s v="ORD10526"/>
    <d v="2025-03-10T00:00:00"/>
    <s v="Ananya Gupta"/>
    <s v="Technology"/>
    <s v="Printers"/>
    <x v="33"/>
    <s v="West"/>
    <s v="Rajasthan"/>
    <n v="81035.100000000006"/>
    <n v="3"/>
    <n v="0.1"/>
    <n v="20360.900000000001"/>
    <s v="Net Banking"/>
    <x v="1"/>
    <x v="8"/>
  </r>
  <r>
    <s v="ORD10527"/>
    <d v="2025-12-22T00:00:00"/>
    <s v="Vikram Patel"/>
    <s v="Technology"/>
    <s v="Keyboards"/>
    <x v="28"/>
    <s v="North"/>
    <s v="Haryana"/>
    <n v="57317.2"/>
    <n v="8"/>
    <n v="0.15"/>
    <n v="11174.26"/>
    <s v="Net Banking"/>
    <x v="1"/>
    <x v="3"/>
  </r>
  <r>
    <s v="ORD10528"/>
    <d v="2025-12-04T00:00:00"/>
    <s v="Neha Yadav"/>
    <s v="Office Supplies"/>
    <s v="Paper"/>
    <x v="37"/>
    <s v="North"/>
    <s v="Haryana"/>
    <n v="3153.6"/>
    <n v="2"/>
    <n v="0.2"/>
    <n v="558.92999999999995"/>
    <s v="Credit Card"/>
    <x v="1"/>
    <x v="3"/>
  </r>
  <r>
    <s v="ORD10529"/>
    <d v="2025-11-21T00:00:00"/>
    <s v="Neha Yadav"/>
    <s v="Office Supplies"/>
    <s v="Staplers"/>
    <x v="21"/>
    <s v="East"/>
    <s v="Jharkhand"/>
    <n v="3049.5"/>
    <n v="2"/>
    <n v="0.05"/>
    <n v="213.64"/>
    <s v="UPI"/>
    <x v="1"/>
    <x v="11"/>
  </r>
  <r>
    <s v="ORD10530"/>
    <d v="2024-07-22T00:00:00"/>
    <s v="Sneha Joshi"/>
    <s v="Furniture"/>
    <s v="Tables"/>
    <x v="26"/>
    <s v="North"/>
    <s v="Delhi"/>
    <n v="28931"/>
    <n v="7"/>
    <n v="0"/>
    <n v="4418.9799999999996"/>
    <s v="Credit Card"/>
    <x v="0"/>
    <x v="4"/>
  </r>
  <r>
    <s v="ORD10531"/>
    <d v="2025-09-09T00:00:00"/>
    <s v="Rohan Khan"/>
    <s v="Office Supplies"/>
    <s v="Staplers"/>
    <x v="7"/>
    <s v="North"/>
    <s v="Punjab"/>
    <n v="12520.8"/>
    <n v="8"/>
    <n v="0.1"/>
    <n v="1880.19"/>
    <s v="Cash"/>
    <x v="1"/>
    <x v="10"/>
  </r>
  <r>
    <s v="ORD10532"/>
    <d v="2024-05-17T00:00:00"/>
    <s v="Aarav Sharma"/>
    <s v="Office Supplies"/>
    <s v="Pens"/>
    <x v="30"/>
    <s v="South"/>
    <s v="Kerala"/>
    <n v="4058.4"/>
    <n v="2"/>
    <n v="0.05"/>
    <n v="783.98"/>
    <s v="UPI"/>
    <x v="0"/>
    <x v="7"/>
  </r>
  <r>
    <s v="ORD10533"/>
    <d v="2024-06-05T00:00:00"/>
    <s v="Vikram Patel"/>
    <s v="Office Supplies"/>
    <s v="Paper"/>
    <x v="42"/>
    <s v="North"/>
    <s v="Uttar Pradesh"/>
    <n v="1333.6"/>
    <n v="1"/>
    <n v="0.2"/>
    <n v="221.17"/>
    <s v="Net Banking"/>
    <x v="0"/>
    <x v="1"/>
  </r>
  <r>
    <s v="ORD10534"/>
    <d v="2024-12-17T00:00:00"/>
    <s v="Aditya Mehta"/>
    <s v="Office Supplies"/>
    <s v="Paper"/>
    <x v="37"/>
    <s v="North"/>
    <s v="Uttar Pradesh"/>
    <n v="6745.6"/>
    <n v="4"/>
    <n v="0.2"/>
    <n v="555.39"/>
    <s v="Net Banking"/>
    <x v="0"/>
    <x v="3"/>
  </r>
  <r>
    <s v="ORD10535"/>
    <d v="2024-06-30T00:00:00"/>
    <s v="Aditya Mehta"/>
    <s v="Technology"/>
    <s v="Laptops"/>
    <x v="12"/>
    <s v="West"/>
    <s v="Maharashtra"/>
    <n v="148335.20000000001"/>
    <n v="8"/>
    <n v="0.15"/>
    <n v="7371.7"/>
    <s v="Debit Card"/>
    <x v="0"/>
    <x v="1"/>
  </r>
  <r>
    <s v="ORD10536"/>
    <d v="2025-05-17T00:00:00"/>
    <s v="Aditya Mehta"/>
    <s v="Office Supplies"/>
    <s v="Binders"/>
    <x v="34"/>
    <s v="West"/>
    <s v="Goa"/>
    <n v="10480"/>
    <n v="5"/>
    <n v="0"/>
    <n v="2030.72"/>
    <s v="Net Banking"/>
    <x v="1"/>
    <x v="7"/>
  </r>
  <r>
    <s v="ORD10537"/>
    <d v="2025-09-23T00:00:00"/>
    <s v="Sneha Joshi"/>
    <s v="Office Supplies"/>
    <s v="Staplers"/>
    <x v="29"/>
    <s v="West"/>
    <s v="Gujarat"/>
    <n v="1700.8"/>
    <n v="1"/>
    <n v="0.2"/>
    <n v="381.28"/>
    <s v="Debit Card"/>
    <x v="1"/>
    <x v="10"/>
  </r>
  <r>
    <s v="ORD10538"/>
    <d v="2024-12-19T00:00:00"/>
    <s v="Sneha Joshi"/>
    <s v="Furniture"/>
    <s v="Chairs"/>
    <x v="5"/>
    <s v="North"/>
    <s v="Delhi"/>
    <n v="8573.1"/>
    <n v="6"/>
    <n v="0.15"/>
    <n v="531.28"/>
    <s v="Cash"/>
    <x v="0"/>
    <x v="3"/>
  </r>
  <r>
    <s v="ORD10539"/>
    <d v="2024-06-22T00:00:00"/>
    <s v="Aarav Sharma"/>
    <s v="Furniture"/>
    <s v="Chairs"/>
    <x v="5"/>
    <s v="South"/>
    <s v="Tamil Nadu"/>
    <n v="16123.5"/>
    <n v="5"/>
    <n v="0.1"/>
    <n v="1255.93"/>
    <s v="Net Banking"/>
    <x v="0"/>
    <x v="1"/>
  </r>
  <r>
    <s v="ORD10540"/>
    <d v="2024-11-20T00:00:00"/>
    <s v="Rohan Khan"/>
    <s v="Furniture"/>
    <s v="Chairs"/>
    <x v="23"/>
    <s v="West"/>
    <s v="Goa"/>
    <n v="8220.7999999999993"/>
    <n v="7"/>
    <n v="0.2"/>
    <n v="283.18"/>
    <s v="Net Banking"/>
    <x v="0"/>
    <x v="11"/>
  </r>
  <r>
    <s v="ORD10541"/>
    <d v="2024-11-02T00:00:00"/>
    <s v="Sneha Joshi"/>
    <s v="Furniture"/>
    <s v="Bookcases"/>
    <x v="19"/>
    <s v="North"/>
    <s v="Uttar Pradesh"/>
    <n v="61473.599999999999"/>
    <n v="4"/>
    <n v="0.1"/>
    <n v="5429.68"/>
    <s v="Cash"/>
    <x v="0"/>
    <x v="11"/>
  </r>
  <r>
    <s v="ORD10542"/>
    <d v="2025-10-01T00:00:00"/>
    <s v="Priya Singh"/>
    <s v="Technology"/>
    <s v="Keyboards"/>
    <x v="15"/>
    <s v="North"/>
    <s v="Punjab"/>
    <n v="18338.75"/>
    <n v="5"/>
    <n v="0.15"/>
    <n v="3730.48"/>
    <s v="Net Banking"/>
    <x v="1"/>
    <x v="2"/>
  </r>
  <r>
    <s v="ORD10543"/>
    <d v="2024-11-05T00:00:00"/>
    <s v="Aditya Mehta"/>
    <s v="Technology"/>
    <s v="Printers"/>
    <x v="35"/>
    <s v="East"/>
    <s v="Bihar"/>
    <n v="233520"/>
    <n v="8"/>
    <n v="0"/>
    <n v="49110.98"/>
    <s v="Debit Card"/>
    <x v="0"/>
    <x v="11"/>
  </r>
  <r>
    <s v="ORD10544"/>
    <d v="2024-01-20T00:00:00"/>
    <s v="Aditya Mehta"/>
    <s v="Furniture"/>
    <s v="Cabinets"/>
    <x v="38"/>
    <s v="East"/>
    <s v="Odisha"/>
    <n v="99047.2"/>
    <n v="7"/>
    <n v="0.2"/>
    <n v="6549.02"/>
    <s v="Credit Card"/>
    <x v="0"/>
    <x v="6"/>
  </r>
  <r>
    <s v="ORD10545"/>
    <d v="2024-05-31T00:00:00"/>
    <s v="Ananya Gupta"/>
    <s v="Office Supplies"/>
    <s v="Staplers"/>
    <x v="7"/>
    <s v="South"/>
    <s v="Kerala"/>
    <n v="14889.35"/>
    <n v="7"/>
    <n v="0.05"/>
    <n v="2089.79"/>
    <s v="Credit Card"/>
    <x v="0"/>
    <x v="7"/>
  </r>
  <r>
    <s v="ORD10546"/>
    <d v="2025-10-23T00:00:00"/>
    <s v="Rahul Verma"/>
    <s v="Office Supplies"/>
    <s v="Pens"/>
    <x v="8"/>
    <s v="West"/>
    <s v="Goa"/>
    <n v="3220.2"/>
    <n v="2"/>
    <n v="0.1"/>
    <n v="707.61"/>
    <s v="Debit Card"/>
    <x v="1"/>
    <x v="2"/>
  </r>
  <r>
    <s v="ORD10547"/>
    <d v="2024-11-13T00:00:00"/>
    <s v="Neha Yadav"/>
    <s v="Office Supplies"/>
    <s v="Storage Boxes"/>
    <x v="14"/>
    <s v="South"/>
    <s v="Kerala"/>
    <n v="404.7"/>
    <n v="2"/>
    <n v="0.05"/>
    <n v="91.83"/>
    <s v="Cash"/>
    <x v="0"/>
    <x v="11"/>
  </r>
  <r>
    <s v="ORD10548"/>
    <d v="2024-10-11T00:00:00"/>
    <s v="Aditya Mehta"/>
    <s v="Office Supplies"/>
    <s v="Staplers"/>
    <x v="21"/>
    <s v="West"/>
    <s v="Maharashtra"/>
    <n v="591.29999999999995"/>
    <n v="3"/>
    <n v="0.1"/>
    <n v="125.91"/>
    <s v="Credit Card"/>
    <x v="0"/>
    <x v="2"/>
  </r>
  <r>
    <s v="ORD10549"/>
    <d v="2025-11-18T00:00:00"/>
    <s v="Priya Singh"/>
    <s v="Office Supplies"/>
    <s v="Paper"/>
    <x v="0"/>
    <s v="West"/>
    <s v="Maharashtra"/>
    <n v="612"/>
    <n v="2"/>
    <n v="0.15"/>
    <n v="135.78"/>
    <s v="Cash"/>
    <x v="1"/>
    <x v="11"/>
  </r>
  <r>
    <s v="ORD10550"/>
    <d v="2024-05-05T00:00:00"/>
    <s v="Sneha Joshi"/>
    <s v="Office Supplies"/>
    <s v="Binders"/>
    <x v="22"/>
    <s v="South"/>
    <s v="Karnataka"/>
    <n v="4266"/>
    <n v="2"/>
    <n v="0"/>
    <n v="544.41"/>
    <s v="Debit Card"/>
    <x v="0"/>
    <x v="7"/>
  </r>
  <r>
    <s v="ORD10551"/>
    <d v="2024-09-17T00:00:00"/>
    <s v="Pooja Mishra"/>
    <s v="Office Supplies"/>
    <s v="Staplers"/>
    <x v="21"/>
    <s v="South"/>
    <s v="Kerala"/>
    <n v="2635.2"/>
    <n v="3"/>
    <n v="0.1"/>
    <n v="376.56"/>
    <s v="UPI"/>
    <x v="0"/>
    <x v="10"/>
  </r>
  <r>
    <s v="ORD10552"/>
    <d v="2025-01-11T00:00:00"/>
    <s v="Vikram Patel"/>
    <s v="Furniture"/>
    <s v="Cabinets"/>
    <x v="38"/>
    <s v="East"/>
    <s v="West Bengal"/>
    <n v="58998.8"/>
    <n v="7"/>
    <n v="0.05"/>
    <n v="8265.7099999999991"/>
    <s v="UPI"/>
    <x v="1"/>
    <x v="6"/>
  </r>
  <r>
    <s v="ORD10553"/>
    <d v="2025-12-02T00:00:00"/>
    <s v="Priya Singh"/>
    <s v="Office Supplies"/>
    <s v="Storage Boxes"/>
    <x v="18"/>
    <s v="North"/>
    <s v="Delhi"/>
    <n v="4917.6000000000004"/>
    <n v="4"/>
    <n v="0.1"/>
    <n v="1158.74"/>
    <s v="Net Banking"/>
    <x v="1"/>
    <x v="3"/>
  </r>
  <r>
    <s v="ORD10554"/>
    <d v="2024-06-13T00:00:00"/>
    <s v="Neha Yadav"/>
    <s v="Technology"/>
    <s v="Keyboards"/>
    <x v="15"/>
    <s v="West"/>
    <s v="Maharashtra"/>
    <n v="94135.5"/>
    <n v="5"/>
    <n v="0.1"/>
    <n v="9138.42"/>
    <s v="Debit Card"/>
    <x v="0"/>
    <x v="1"/>
  </r>
  <r>
    <s v="ORD10555"/>
    <d v="2024-04-12T00:00:00"/>
    <s v="Rahul Verma"/>
    <s v="Office Supplies"/>
    <s v="Staplers"/>
    <x v="21"/>
    <s v="North"/>
    <s v="Haryana"/>
    <n v="9941.6"/>
    <n v="8"/>
    <n v="0.15"/>
    <n v="2165.8000000000002"/>
    <s v="Debit Card"/>
    <x v="0"/>
    <x v="5"/>
  </r>
  <r>
    <s v="ORD10556"/>
    <d v="2025-10-18T00:00:00"/>
    <s v="Rahul Verma"/>
    <s v="Office Supplies"/>
    <s v="Paper"/>
    <x v="42"/>
    <s v="East"/>
    <s v="Jharkhand"/>
    <n v="1784.1"/>
    <n v="6"/>
    <n v="0.05"/>
    <n v="345.28"/>
    <s v="UPI"/>
    <x v="1"/>
    <x v="2"/>
  </r>
  <r>
    <s v="ORD10557"/>
    <d v="2025-10-26T00:00:00"/>
    <s v="Rahul Verma"/>
    <s v="Furniture"/>
    <s v="Desks"/>
    <x v="36"/>
    <s v="East"/>
    <s v="Bihar"/>
    <n v="9553.6"/>
    <n v="2"/>
    <n v="0.2"/>
    <n v="1650.03"/>
    <s v="Net Banking"/>
    <x v="1"/>
    <x v="2"/>
  </r>
  <r>
    <s v="ORD10558"/>
    <d v="2025-02-28T00:00:00"/>
    <s v="Sneha Joshi"/>
    <s v="Office Supplies"/>
    <s v="Staplers"/>
    <x v="7"/>
    <s v="East"/>
    <s v="Jharkhand"/>
    <n v="3890.7"/>
    <n v="3"/>
    <n v="0.1"/>
    <n v="368.58"/>
    <s v="Credit Card"/>
    <x v="1"/>
    <x v="0"/>
  </r>
  <r>
    <s v="ORD10559"/>
    <d v="2024-06-21T00:00:00"/>
    <s v="Aarav Sharma"/>
    <s v="Furniture"/>
    <s v="Tables"/>
    <x v="26"/>
    <s v="South"/>
    <s v="Karnataka"/>
    <n v="14117"/>
    <n v="4"/>
    <n v="0.05"/>
    <n v="1692.02"/>
    <s v="Cash"/>
    <x v="0"/>
    <x v="1"/>
  </r>
  <r>
    <s v="ORD10560"/>
    <d v="2025-04-09T00:00:00"/>
    <s v="Neha Yadav"/>
    <s v="Office Supplies"/>
    <s v="Staplers"/>
    <x v="21"/>
    <s v="East"/>
    <s v="Odisha"/>
    <n v="753.6"/>
    <n v="6"/>
    <n v="0.2"/>
    <n v="88.2"/>
    <s v="UPI"/>
    <x v="1"/>
    <x v="5"/>
  </r>
  <r>
    <s v="ORD10561"/>
    <d v="2024-10-16T00:00:00"/>
    <s v="Ananya Gupta"/>
    <s v="Technology"/>
    <s v="Smartphones"/>
    <x v="13"/>
    <s v="South"/>
    <s v="Telangana"/>
    <n v="199416.4"/>
    <n v="8"/>
    <n v="0.05"/>
    <n v="37393.879999999997"/>
    <s v="Cash"/>
    <x v="0"/>
    <x v="2"/>
  </r>
  <r>
    <s v="ORD10562"/>
    <d v="2025-10-24T00:00:00"/>
    <s v="Neha Yadav"/>
    <s v="Technology"/>
    <s v="Keyboards"/>
    <x v="15"/>
    <s v="South"/>
    <s v="Karnataka"/>
    <n v="74844"/>
    <n v="5"/>
    <n v="0.1"/>
    <n v="12841.78"/>
    <s v="UPI"/>
    <x v="1"/>
    <x v="2"/>
  </r>
  <r>
    <s v="ORD10563"/>
    <d v="2024-09-19T00:00:00"/>
    <s v="Priya Singh"/>
    <s v="Technology"/>
    <s v="Keyboards"/>
    <x v="3"/>
    <s v="South"/>
    <s v="Telangana"/>
    <n v="274967.34999999998"/>
    <n v="7"/>
    <n v="0.15"/>
    <n v="52167.03"/>
    <s v="UPI"/>
    <x v="0"/>
    <x v="10"/>
  </r>
  <r>
    <s v="ORD10564"/>
    <d v="2025-09-26T00:00:00"/>
    <s v="Rohan Khan"/>
    <s v="Office Supplies"/>
    <s v="Paper"/>
    <x v="0"/>
    <s v="North"/>
    <s v="Haryana"/>
    <n v="2288"/>
    <n v="8"/>
    <n v="0"/>
    <n v="299.11"/>
    <s v="Debit Card"/>
    <x v="1"/>
    <x v="10"/>
  </r>
  <r>
    <s v="ORD10565"/>
    <d v="2025-04-24T00:00:00"/>
    <s v="Rahul Verma"/>
    <s v="Furniture"/>
    <s v="Bookcases"/>
    <x v="32"/>
    <s v="South"/>
    <s v="Karnataka"/>
    <n v="16233.3"/>
    <n v="3"/>
    <n v="0.15"/>
    <n v="3710.37"/>
    <s v="UPI"/>
    <x v="1"/>
    <x v="5"/>
  </r>
  <r>
    <s v="ORD10566"/>
    <d v="2024-10-14T00:00:00"/>
    <s v="Sneha Joshi"/>
    <s v="Furniture"/>
    <s v="Cabinets"/>
    <x v="38"/>
    <s v="West"/>
    <s v="Gujarat"/>
    <n v="3819.9"/>
    <n v="2"/>
    <n v="0.15"/>
    <n v="828.29"/>
    <s v="Cash"/>
    <x v="0"/>
    <x v="2"/>
  </r>
  <r>
    <s v="ORD10567"/>
    <d v="2025-11-04T00:00:00"/>
    <s v="Neha Yadav"/>
    <s v="Furniture"/>
    <s v="Bookcases"/>
    <x v="27"/>
    <s v="East"/>
    <s v="Bihar"/>
    <n v="40555.199999999997"/>
    <n v="3"/>
    <n v="0.2"/>
    <n v="8135.65"/>
    <s v="UPI"/>
    <x v="1"/>
    <x v="11"/>
  </r>
  <r>
    <s v="ORD10568"/>
    <d v="2025-05-21T00:00:00"/>
    <s v="Aarav Sharma"/>
    <s v="Technology"/>
    <s v="Smartphones"/>
    <x v="10"/>
    <s v="North"/>
    <s v="Punjab"/>
    <n v="27215.3"/>
    <n v="1"/>
    <n v="0.15"/>
    <n v="3532.16"/>
    <s v="Cash"/>
    <x v="1"/>
    <x v="7"/>
  </r>
  <r>
    <s v="ORD10569"/>
    <d v="2024-10-17T00:00:00"/>
    <s v="Rahul Verma"/>
    <s v="Furniture"/>
    <s v="Cabinets"/>
    <x v="38"/>
    <s v="West"/>
    <s v="Goa"/>
    <n v="10171.799999999999"/>
    <n v="2"/>
    <n v="0.1"/>
    <n v="749.82"/>
    <s v="Credit Card"/>
    <x v="0"/>
    <x v="2"/>
  </r>
  <r>
    <s v="ORD10570"/>
    <d v="2025-05-25T00:00:00"/>
    <s v="Priya Singh"/>
    <s v="Office Supplies"/>
    <s v="Storage Boxes"/>
    <x v="18"/>
    <s v="East"/>
    <s v="Odisha"/>
    <n v="1805"/>
    <n v="1"/>
    <n v="0"/>
    <n v="233.26"/>
    <s v="Debit Card"/>
    <x v="1"/>
    <x v="7"/>
  </r>
  <r>
    <s v="ORD10571"/>
    <d v="2025-12-25T00:00:00"/>
    <s v="Neha Yadav"/>
    <s v="Technology"/>
    <s v="Monitors"/>
    <x v="11"/>
    <s v="North"/>
    <s v="Uttar Pradesh"/>
    <n v="112104"/>
    <n v="2"/>
    <n v="0"/>
    <n v="10785.82"/>
    <s v="Cash"/>
    <x v="1"/>
    <x v="3"/>
  </r>
  <r>
    <s v="ORD10572"/>
    <d v="2024-10-16T00:00:00"/>
    <s v="Sneha Joshi"/>
    <s v="Office Supplies"/>
    <s v="Pens"/>
    <x v="30"/>
    <s v="North"/>
    <s v="Haryana"/>
    <n v="7720"/>
    <n v="8"/>
    <n v="0"/>
    <n v="1855.21"/>
    <s v="UPI"/>
    <x v="0"/>
    <x v="2"/>
  </r>
  <r>
    <s v="ORD10573"/>
    <d v="2024-08-01T00:00:00"/>
    <s v="Rahul Verma"/>
    <s v="Office Supplies"/>
    <s v="Paper"/>
    <x v="37"/>
    <s v="West"/>
    <s v="Maharashtra"/>
    <n v="8665"/>
    <n v="5"/>
    <n v="0"/>
    <n v="728.75"/>
    <s v="Cash"/>
    <x v="0"/>
    <x v="9"/>
  </r>
  <r>
    <s v="ORD10574"/>
    <d v="2025-11-12T00:00:00"/>
    <s v="Priya Singh"/>
    <s v="Furniture"/>
    <s v="Bookcases"/>
    <x v="27"/>
    <s v="South"/>
    <s v="Karnataka"/>
    <n v="95788.800000000003"/>
    <n v="8"/>
    <n v="0.2"/>
    <n v="5388.82"/>
    <s v="Debit Card"/>
    <x v="1"/>
    <x v="11"/>
  </r>
  <r>
    <s v="ORD10575"/>
    <d v="2025-09-20T00:00:00"/>
    <s v="Rahul Verma"/>
    <s v="Office Supplies"/>
    <s v="Binders"/>
    <x v="4"/>
    <s v="West"/>
    <s v="Goa"/>
    <n v="3189.2"/>
    <n v="8"/>
    <n v="0.15"/>
    <n v="652.83000000000004"/>
    <s v="Cash"/>
    <x v="1"/>
    <x v="10"/>
  </r>
  <r>
    <s v="ORD10576"/>
    <d v="2025-06-23T00:00:00"/>
    <s v="Aditya Mehta"/>
    <s v="Office Supplies"/>
    <s v="Staplers"/>
    <x v="29"/>
    <s v="North"/>
    <s v="Delhi"/>
    <n v="5802.6"/>
    <n v="6"/>
    <n v="0.05"/>
    <n v="1471.73"/>
    <s v="UPI"/>
    <x v="1"/>
    <x v="1"/>
  </r>
  <r>
    <s v="ORD10577"/>
    <d v="2024-10-29T00:00:00"/>
    <s v="Pooja Mishra"/>
    <s v="Furniture"/>
    <s v="Tables"/>
    <x v="31"/>
    <s v="West"/>
    <s v="Maharashtra"/>
    <n v="23688.25"/>
    <n v="5"/>
    <n v="0.05"/>
    <n v="4077.18"/>
    <s v="UPI"/>
    <x v="0"/>
    <x v="2"/>
  </r>
  <r>
    <s v="ORD10578"/>
    <d v="2024-12-29T00:00:00"/>
    <s v="Vikram Patel"/>
    <s v="Office Supplies"/>
    <s v="Paper"/>
    <x v="42"/>
    <s v="North"/>
    <s v="Delhi"/>
    <n v="11216.8"/>
    <n v="7"/>
    <n v="0.2"/>
    <n v="2159.96"/>
    <s v="Net Banking"/>
    <x v="0"/>
    <x v="3"/>
  </r>
  <r>
    <s v="ORD10579"/>
    <d v="2025-12-22T00:00:00"/>
    <s v="Vikram Patel"/>
    <s v="Technology"/>
    <s v="Printers"/>
    <x v="33"/>
    <s v="North"/>
    <s v="Delhi"/>
    <n v="103736"/>
    <n v="8"/>
    <n v="0"/>
    <n v="10026.93"/>
    <s v="Debit Card"/>
    <x v="1"/>
    <x v="3"/>
  </r>
  <r>
    <s v="ORD10580"/>
    <d v="2025-11-20T00:00:00"/>
    <s v="Priya Singh"/>
    <s v="Office Supplies"/>
    <s v="Staplers"/>
    <x v="7"/>
    <s v="West"/>
    <s v="Rajasthan"/>
    <n v="1008"/>
    <n v="3"/>
    <n v="0.2"/>
    <n v="82.52"/>
    <s v="Cash"/>
    <x v="1"/>
    <x v="11"/>
  </r>
  <r>
    <s v="ORD10581"/>
    <d v="2025-09-08T00:00:00"/>
    <s v="Neha Yadav"/>
    <s v="Office Supplies"/>
    <s v="Paper"/>
    <x v="0"/>
    <s v="North"/>
    <s v="Uttar Pradesh"/>
    <n v="1686.4"/>
    <n v="1"/>
    <n v="0.15"/>
    <n v="364.69"/>
    <s v="Debit Card"/>
    <x v="1"/>
    <x v="10"/>
  </r>
  <r>
    <s v="ORD10582"/>
    <d v="2024-01-17T00:00:00"/>
    <s v="Ananya Gupta"/>
    <s v="Office Supplies"/>
    <s v="Storage Boxes"/>
    <x v="6"/>
    <s v="East"/>
    <s v="Jharkhand"/>
    <n v="296.39999999999998"/>
    <n v="2"/>
    <n v="0.05"/>
    <n v="26.64"/>
    <s v="UPI"/>
    <x v="0"/>
    <x v="6"/>
  </r>
  <r>
    <s v="ORD10583"/>
    <d v="2024-01-23T00:00:00"/>
    <s v="Priya Singh"/>
    <s v="Technology"/>
    <s v="Keyboards"/>
    <x v="15"/>
    <s v="South"/>
    <s v="Tamil Nadu"/>
    <n v="25999.599999999999"/>
    <n v="4"/>
    <n v="0.05"/>
    <n v="4219.68"/>
    <s v="Credit Card"/>
    <x v="0"/>
    <x v="6"/>
  </r>
  <r>
    <s v="ORD10584"/>
    <d v="2025-02-05T00:00:00"/>
    <s v="Aarav Sharma"/>
    <s v="Technology"/>
    <s v="Keyboards"/>
    <x v="28"/>
    <s v="West"/>
    <s v="Goa"/>
    <n v="284781.59999999998"/>
    <n v="8"/>
    <n v="0.1"/>
    <n v="48095.65"/>
    <s v="Debit Card"/>
    <x v="1"/>
    <x v="0"/>
  </r>
  <r>
    <s v="ORD10585"/>
    <d v="2025-09-18T00:00:00"/>
    <s v="Neha Yadav"/>
    <s v="Technology"/>
    <s v="Laptops"/>
    <x v="12"/>
    <s v="West"/>
    <s v="Goa"/>
    <n v="15406.25"/>
    <n v="5"/>
    <n v="0.15"/>
    <n v="2236.54"/>
    <s v="Credit Card"/>
    <x v="1"/>
    <x v="10"/>
  </r>
  <r>
    <s v="ORD10586"/>
    <d v="2024-04-29T00:00:00"/>
    <s v="Neha Yadav"/>
    <s v="Office Supplies"/>
    <s v="Paper"/>
    <x v="42"/>
    <s v="North"/>
    <s v="Uttar Pradesh"/>
    <n v="6104.7"/>
    <n v="6"/>
    <n v="0.15"/>
    <n v="1345.04"/>
    <s v="Net Banking"/>
    <x v="0"/>
    <x v="5"/>
  </r>
  <r>
    <s v="ORD10587"/>
    <d v="2025-06-03T00:00:00"/>
    <s v="Ananya Gupta"/>
    <s v="Office Supplies"/>
    <s v="Pens"/>
    <x v="30"/>
    <s v="West"/>
    <s v="Goa"/>
    <n v="5459.4"/>
    <n v="3"/>
    <n v="0.1"/>
    <n v="778.63"/>
    <s v="Net Banking"/>
    <x v="1"/>
    <x v="1"/>
  </r>
  <r>
    <s v="ORD10588"/>
    <d v="2024-06-14T00:00:00"/>
    <s v="Pooja Mishra"/>
    <s v="Office Supplies"/>
    <s v="Pens"/>
    <x v="8"/>
    <s v="West"/>
    <s v="Gujarat"/>
    <n v="9371.25"/>
    <n v="7"/>
    <n v="0.15"/>
    <n v="1897.22"/>
    <s v="Credit Card"/>
    <x v="0"/>
    <x v="1"/>
  </r>
  <r>
    <s v="ORD10589"/>
    <d v="2025-05-20T00:00:00"/>
    <s v="Vikram Patel"/>
    <s v="Furniture"/>
    <s v="Chairs"/>
    <x v="5"/>
    <s v="West"/>
    <s v="Gujarat"/>
    <n v="57551.8"/>
    <n v="4"/>
    <n v="0.15"/>
    <n v="13300.85"/>
    <s v="Credit Card"/>
    <x v="1"/>
    <x v="7"/>
  </r>
  <r>
    <s v="ORD10590"/>
    <d v="2024-03-06T00:00:00"/>
    <s v="Sneha Joshi"/>
    <s v="Technology"/>
    <s v="Printers"/>
    <x v="39"/>
    <s v="North"/>
    <s v="Delhi"/>
    <n v="98396"/>
    <n v="5"/>
    <n v="0.2"/>
    <n v="3581.02"/>
    <s v="Cash"/>
    <x v="0"/>
    <x v="8"/>
  </r>
  <r>
    <s v="ORD10591"/>
    <d v="2025-07-24T00:00:00"/>
    <s v="Vikram Patel"/>
    <s v="Technology"/>
    <s v="Printers"/>
    <x v="33"/>
    <s v="South"/>
    <s v="Karnataka"/>
    <n v="119066.4"/>
    <n v="4"/>
    <n v="0.1"/>
    <n v="24869.97"/>
    <s v="Credit Card"/>
    <x v="1"/>
    <x v="4"/>
  </r>
  <r>
    <s v="ORD10592"/>
    <d v="2024-04-14T00:00:00"/>
    <s v="Aditya Mehta"/>
    <s v="Office Supplies"/>
    <s v="Storage Boxes"/>
    <x v="6"/>
    <s v="North"/>
    <s v="Delhi"/>
    <n v="3411.2"/>
    <n v="8"/>
    <n v="0.2"/>
    <n v="518.27"/>
    <s v="UPI"/>
    <x v="0"/>
    <x v="5"/>
  </r>
  <r>
    <s v="ORD10593"/>
    <d v="2024-04-11T00:00:00"/>
    <s v="Rahul Verma"/>
    <s v="Office Supplies"/>
    <s v="Paper"/>
    <x v="0"/>
    <s v="South"/>
    <s v="Karnataka"/>
    <n v="9158.4"/>
    <n v="6"/>
    <n v="0.2"/>
    <n v="1187.6400000000001"/>
    <s v="Debit Card"/>
    <x v="0"/>
    <x v="5"/>
  </r>
  <r>
    <s v="ORD10594"/>
    <d v="2025-06-01T00:00:00"/>
    <s v="Rahul Verma"/>
    <s v="Furniture"/>
    <s v="Desks"/>
    <x v="17"/>
    <s v="North"/>
    <s v="Punjab"/>
    <n v="6039.25"/>
    <n v="7"/>
    <n v="0.15"/>
    <n v="668.93"/>
    <s v="UPI"/>
    <x v="1"/>
    <x v="1"/>
  </r>
  <r>
    <s v="ORD10595"/>
    <d v="2025-02-27T00:00:00"/>
    <s v="Rohan Khan"/>
    <s v="Furniture"/>
    <s v="Bookcases"/>
    <x v="32"/>
    <s v="West"/>
    <s v="Rajasthan"/>
    <n v="55548.4"/>
    <n v="4"/>
    <n v="0.05"/>
    <n v="12656.91"/>
    <s v="Cash"/>
    <x v="1"/>
    <x v="0"/>
  </r>
  <r>
    <s v="ORD10596"/>
    <d v="2025-02-15T00:00:00"/>
    <s v="Rahul Verma"/>
    <s v="Office Supplies"/>
    <s v="Pens"/>
    <x v="30"/>
    <s v="North"/>
    <s v="Uttar Pradesh"/>
    <n v="385"/>
    <n v="1"/>
    <n v="0"/>
    <n v="56.85"/>
    <s v="Cash"/>
    <x v="1"/>
    <x v="0"/>
  </r>
  <r>
    <s v="ORD10597"/>
    <d v="2025-11-28T00:00:00"/>
    <s v="Aditya Mehta"/>
    <s v="Technology"/>
    <s v="Keyboards"/>
    <x v="3"/>
    <s v="North"/>
    <s v="Punjab"/>
    <n v="36204.050000000003"/>
    <n v="1"/>
    <n v="0.15"/>
    <n v="4449.5"/>
    <s v="Debit Card"/>
    <x v="1"/>
    <x v="11"/>
  </r>
  <r>
    <s v="ORD10598"/>
    <d v="2025-10-01T00:00:00"/>
    <s v="Pooja Mishra"/>
    <s v="Office Supplies"/>
    <s v="Pens"/>
    <x v="8"/>
    <s v="East"/>
    <s v="West Bengal"/>
    <n v="5491.95"/>
    <n v="3"/>
    <n v="0.05"/>
    <n v="1345.62"/>
    <s v="Cash"/>
    <x v="1"/>
    <x v="2"/>
  </r>
  <r>
    <s v="ORD10599"/>
    <d v="2025-07-07T00:00:00"/>
    <s v="Vikram Patel"/>
    <s v="Office Supplies"/>
    <s v="Pens"/>
    <x v="8"/>
    <s v="West"/>
    <s v="Gujarat"/>
    <n v="3224.3"/>
    <n v="2"/>
    <n v="0.05"/>
    <n v="553.27"/>
    <s v="Credit Card"/>
    <x v="1"/>
    <x v="4"/>
  </r>
  <r>
    <s v="ORD10600"/>
    <d v="2024-11-07T00:00:00"/>
    <s v="Rohan Khan"/>
    <s v="Technology"/>
    <s v="Printers"/>
    <x v="33"/>
    <s v="East"/>
    <s v="Bihar"/>
    <n v="6561.6"/>
    <n v="3"/>
    <n v="0.2"/>
    <n v="536.33000000000004"/>
    <s v="Net Banking"/>
    <x v="0"/>
    <x v="11"/>
  </r>
  <r>
    <s v="ORD10601"/>
    <d v="2024-01-06T00:00:00"/>
    <s v="Neha Yadav"/>
    <s v="Technology"/>
    <s v="Laptops"/>
    <x v="43"/>
    <s v="East"/>
    <s v="Bihar"/>
    <n v="47501.4"/>
    <n v="6"/>
    <n v="0.15"/>
    <n v="4849.5200000000004"/>
    <s v="Debit Card"/>
    <x v="0"/>
    <x v="6"/>
  </r>
  <r>
    <s v="ORD10602"/>
    <d v="2024-04-17T00:00:00"/>
    <s v="Sneha Joshi"/>
    <s v="Technology"/>
    <s v="Printers"/>
    <x v="39"/>
    <s v="South"/>
    <s v="Telangana"/>
    <n v="179628"/>
    <n v="5"/>
    <n v="0.2"/>
    <n v="31884.41"/>
    <s v="Net Banking"/>
    <x v="0"/>
    <x v="5"/>
  </r>
  <r>
    <s v="ORD10603"/>
    <d v="2025-03-11T00:00:00"/>
    <s v="Rahul Verma"/>
    <s v="Office Supplies"/>
    <s v="Binders"/>
    <x v="34"/>
    <s v="East"/>
    <s v="Jharkhand"/>
    <n v="5361"/>
    <n v="3"/>
    <n v="0"/>
    <n v="527.79"/>
    <s v="Cash"/>
    <x v="1"/>
    <x v="8"/>
  </r>
  <r>
    <s v="ORD10604"/>
    <d v="2025-10-13T00:00:00"/>
    <s v="Rohan Khan"/>
    <s v="Technology"/>
    <s v="Keyboards"/>
    <x v="3"/>
    <s v="North"/>
    <s v="Haryana"/>
    <n v="250425"/>
    <n v="7"/>
    <n v="0.1"/>
    <n v="43038.23"/>
    <s v="Cash"/>
    <x v="1"/>
    <x v="2"/>
  </r>
  <r>
    <s v="ORD10605"/>
    <d v="2024-04-30T00:00:00"/>
    <s v="Ananya Gupta"/>
    <s v="Office Supplies"/>
    <s v="Staplers"/>
    <x v="21"/>
    <s v="West"/>
    <s v="Gujarat"/>
    <n v="1509.6"/>
    <n v="3"/>
    <n v="0.2"/>
    <n v="305.93"/>
    <s v="Cash"/>
    <x v="0"/>
    <x v="5"/>
  </r>
  <r>
    <s v="ORD10606"/>
    <d v="2025-06-19T00:00:00"/>
    <s v="Rahul Verma"/>
    <s v="Furniture"/>
    <s v="Chairs"/>
    <x v="5"/>
    <s v="South"/>
    <s v="Telangana"/>
    <n v="26656"/>
    <n v="7"/>
    <n v="0.2"/>
    <n v="2343.5500000000002"/>
    <s v="UPI"/>
    <x v="1"/>
    <x v="1"/>
  </r>
  <r>
    <s v="ORD10607"/>
    <d v="2024-11-08T00:00:00"/>
    <s v="Vikram Patel"/>
    <s v="Furniture"/>
    <s v="Bookcases"/>
    <x v="27"/>
    <s v="East"/>
    <s v="Bihar"/>
    <n v="35078.400000000001"/>
    <n v="8"/>
    <n v="0.2"/>
    <n v="4011.26"/>
    <s v="Credit Card"/>
    <x v="0"/>
    <x v="11"/>
  </r>
  <r>
    <s v="ORD10608"/>
    <d v="2025-08-02T00:00:00"/>
    <s v="Neha Yadav"/>
    <s v="Technology"/>
    <s v="Keyboards"/>
    <x v="3"/>
    <s v="North"/>
    <s v="Delhi"/>
    <n v="28697.7"/>
    <n v="6"/>
    <n v="0.15"/>
    <n v="4508.75"/>
    <s v="Debit Card"/>
    <x v="1"/>
    <x v="9"/>
  </r>
  <r>
    <s v="ORD10609"/>
    <d v="2024-11-29T00:00:00"/>
    <s v="Priya Singh"/>
    <s v="Furniture"/>
    <s v="Tables"/>
    <x v="24"/>
    <s v="South"/>
    <s v="Tamil Nadu"/>
    <n v="118126.8"/>
    <n v="8"/>
    <n v="0.05"/>
    <n v="28441.279999999999"/>
    <s v="Net Banking"/>
    <x v="0"/>
    <x v="11"/>
  </r>
  <r>
    <s v="ORD10610"/>
    <d v="2024-06-18T00:00:00"/>
    <s v="Aarav Sharma"/>
    <s v="Office Supplies"/>
    <s v="Storage Boxes"/>
    <x v="14"/>
    <s v="West"/>
    <s v="Goa"/>
    <n v="12058.2"/>
    <n v="7"/>
    <n v="0.1"/>
    <n v="2220.92"/>
    <s v="Net Banking"/>
    <x v="0"/>
    <x v="1"/>
  </r>
  <r>
    <s v="ORD10611"/>
    <d v="2024-01-20T00:00:00"/>
    <s v="Priya Singh"/>
    <s v="Office Supplies"/>
    <s v="Pens"/>
    <x v="30"/>
    <s v="North"/>
    <s v="Delhi"/>
    <n v="743.75"/>
    <n v="1"/>
    <n v="0.15"/>
    <n v="106.38"/>
    <s v="Net Banking"/>
    <x v="0"/>
    <x v="6"/>
  </r>
  <r>
    <s v="ORD10612"/>
    <d v="2024-01-24T00:00:00"/>
    <s v="Sneha Joshi"/>
    <s v="Technology"/>
    <s v="Laptops"/>
    <x v="44"/>
    <s v="East"/>
    <s v="Odisha"/>
    <n v="43180.800000000003"/>
    <n v="8"/>
    <n v="0.2"/>
    <n v="1683.91"/>
    <s v="Cash"/>
    <x v="0"/>
    <x v="6"/>
  </r>
  <r>
    <s v="ORD10613"/>
    <d v="2024-05-27T00:00:00"/>
    <s v="Rahul Verma"/>
    <s v="Technology"/>
    <s v="Keyboards"/>
    <x v="15"/>
    <s v="North"/>
    <s v="Haryana"/>
    <n v="28660"/>
    <n v="5"/>
    <n v="0.2"/>
    <n v="1823.67"/>
    <s v="Debit Card"/>
    <x v="0"/>
    <x v="7"/>
  </r>
  <r>
    <s v="ORD10614"/>
    <d v="2024-11-01T00:00:00"/>
    <s v="Rohan Khan"/>
    <s v="Technology"/>
    <s v="Smartphones"/>
    <x v="1"/>
    <s v="East"/>
    <s v="Jharkhand"/>
    <n v="15180"/>
    <n v="3"/>
    <n v="0"/>
    <n v="3379.98"/>
    <s v="UPI"/>
    <x v="0"/>
    <x v="11"/>
  </r>
  <r>
    <s v="ORD10615"/>
    <d v="2025-09-03T00:00:00"/>
    <s v="Pooja Mishra"/>
    <s v="Furniture"/>
    <s v="Desks"/>
    <x v="17"/>
    <s v="West"/>
    <s v="Rajasthan"/>
    <n v="31673.95"/>
    <n v="7"/>
    <n v="0.05"/>
    <n v="3655.95"/>
    <s v="Credit Card"/>
    <x v="1"/>
    <x v="10"/>
  </r>
  <r>
    <s v="ORD10616"/>
    <d v="2024-01-30T00:00:00"/>
    <s v="Rohan Khan"/>
    <s v="Furniture"/>
    <s v="Cabinets"/>
    <x v="38"/>
    <s v="West"/>
    <s v="Maharashtra"/>
    <n v="13626.35"/>
    <n v="1"/>
    <n v="0.15"/>
    <n v="757.51"/>
    <s v="Credit Card"/>
    <x v="0"/>
    <x v="6"/>
  </r>
  <r>
    <s v="ORD10617"/>
    <d v="2025-05-27T00:00:00"/>
    <s v="Ananya Gupta"/>
    <s v="Technology"/>
    <s v="Monitors"/>
    <x v="16"/>
    <s v="North"/>
    <s v="Punjab"/>
    <n v="63489"/>
    <n v="3"/>
    <n v="0"/>
    <n v="15824.99"/>
    <s v="Credit Card"/>
    <x v="1"/>
    <x v="7"/>
  </r>
  <r>
    <s v="ORD10618"/>
    <d v="2025-09-27T00:00:00"/>
    <s v="Vikram Patel"/>
    <s v="Furniture"/>
    <s v="Cabinets"/>
    <x v="9"/>
    <s v="South"/>
    <s v="Tamil Nadu"/>
    <n v="109214"/>
    <n v="7"/>
    <n v="0"/>
    <n v="26487.53"/>
    <s v="Credit Card"/>
    <x v="1"/>
    <x v="10"/>
  </r>
  <r>
    <s v="ORD10619"/>
    <d v="2025-06-06T00:00:00"/>
    <s v="Vikram Patel"/>
    <s v="Technology"/>
    <s v="Laptops"/>
    <x v="43"/>
    <s v="West"/>
    <s v="Rajasthan"/>
    <n v="267026"/>
    <n v="5"/>
    <n v="0.05"/>
    <n v="49274.8"/>
    <s v="UPI"/>
    <x v="1"/>
    <x v="1"/>
  </r>
  <r>
    <s v="ORD10620"/>
    <d v="2025-03-18T00:00:00"/>
    <s v="Ananya Gupta"/>
    <s v="Technology"/>
    <s v="Printers"/>
    <x v="35"/>
    <s v="North"/>
    <s v="Haryana"/>
    <n v="263043.20000000001"/>
    <n v="7"/>
    <n v="0.2"/>
    <n v="60437.919999999998"/>
    <s v="Net Banking"/>
    <x v="1"/>
    <x v="8"/>
  </r>
  <r>
    <s v="ORD10621"/>
    <d v="2025-09-05T00:00:00"/>
    <s v="Sneha Joshi"/>
    <s v="Office Supplies"/>
    <s v="Pens"/>
    <x v="41"/>
    <s v="East"/>
    <s v="Bihar"/>
    <n v="10202.4"/>
    <n v="8"/>
    <n v="0.1"/>
    <n v="990.91"/>
    <s v="UPI"/>
    <x v="1"/>
    <x v="10"/>
  </r>
  <r>
    <s v="ORD10622"/>
    <d v="2025-12-21T00:00:00"/>
    <s v="Neha Yadav"/>
    <s v="Office Supplies"/>
    <s v="Binders"/>
    <x v="34"/>
    <s v="North"/>
    <s v="Uttar Pradesh"/>
    <n v="1433.6"/>
    <n v="1"/>
    <n v="0.2"/>
    <n v="299.7"/>
    <s v="Cash"/>
    <x v="1"/>
    <x v="3"/>
  </r>
  <r>
    <s v="ORD10623"/>
    <d v="2025-01-01T00:00:00"/>
    <s v="Rohan Khan"/>
    <s v="Office Supplies"/>
    <s v="Paper"/>
    <x v="42"/>
    <s v="North"/>
    <s v="Delhi"/>
    <n v="10506"/>
    <n v="8"/>
    <n v="0.15"/>
    <n v="2185.1799999999998"/>
    <s v="Credit Card"/>
    <x v="1"/>
    <x v="6"/>
  </r>
  <r>
    <s v="ORD10624"/>
    <d v="2025-11-27T00:00:00"/>
    <s v="Sneha Joshi"/>
    <s v="Office Supplies"/>
    <s v="Paper"/>
    <x v="37"/>
    <s v="North"/>
    <s v="Uttar Pradesh"/>
    <n v="4028"/>
    <n v="4"/>
    <n v="0"/>
    <n v="933.22"/>
    <s v="Credit Card"/>
    <x v="1"/>
    <x v="11"/>
  </r>
  <r>
    <s v="ORD10625"/>
    <d v="2025-12-21T00:00:00"/>
    <s v="Pooja Mishra"/>
    <s v="Technology"/>
    <s v="Printers"/>
    <x v="35"/>
    <s v="East"/>
    <s v="Odisha"/>
    <n v="465062.40000000002"/>
    <n v="8"/>
    <n v="0.1"/>
    <n v="71418.509999999995"/>
    <s v="Credit Card"/>
    <x v="1"/>
    <x v="3"/>
  </r>
  <r>
    <s v="ORD10626"/>
    <d v="2024-03-07T00:00:00"/>
    <s v="Pooja Mishra"/>
    <s v="Technology"/>
    <s v="Smartphones"/>
    <x v="13"/>
    <s v="West"/>
    <s v="Maharashtra"/>
    <n v="79180.800000000003"/>
    <n v="8"/>
    <n v="0.2"/>
    <n v="11325.08"/>
    <s v="Credit Card"/>
    <x v="0"/>
    <x v="8"/>
  </r>
  <r>
    <s v="ORD10627"/>
    <d v="2024-01-24T00:00:00"/>
    <s v="Aditya Mehta"/>
    <s v="Office Supplies"/>
    <s v="Paper"/>
    <x v="42"/>
    <s v="South"/>
    <s v="Telangana"/>
    <n v="4647.3999999999996"/>
    <n v="4"/>
    <n v="0.05"/>
    <n v="1101.5899999999999"/>
    <s v="Net Banking"/>
    <x v="0"/>
    <x v="6"/>
  </r>
  <r>
    <s v="ORD10628"/>
    <d v="2025-11-27T00:00:00"/>
    <s v="Aditya Mehta"/>
    <s v="Furniture"/>
    <s v="Cabinets"/>
    <x v="38"/>
    <s v="West"/>
    <s v="Maharashtra"/>
    <n v="9676.4"/>
    <n v="1"/>
    <n v="0.15"/>
    <n v="941.58"/>
    <s v="Cash"/>
    <x v="1"/>
    <x v="11"/>
  </r>
  <r>
    <s v="ORD10629"/>
    <d v="2025-02-05T00:00:00"/>
    <s v="Ananya Gupta"/>
    <s v="Furniture"/>
    <s v="Bookcases"/>
    <x v="19"/>
    <s v="North"/>
    <s v="Punjab"/>
    <n v="61897"/>
    <n v="5"/>
    <n v="0.15"/>
    <n v="6545.51"/>
    <s v="Debit Card"/>
    <x v="1"/>
    <x v="0"/>
  </r>
  <r>
    <s v="ORD10630"/>
    <d v="2024-11-14T00:00:00"/>
    <s v="Priya Singh"/>
    <s v="Technology"/>
    <s v="Printers"/>
    <x v="33"/>
    <s v="North"/>
    <s v="Punjab"/>
    <n v="425387.2"/>
    <n v="7"/>
    <n v="0.05"/>
    <n v="42707.31"/>
    <s v="UPI"/>
    <x v="0"/>
    <x v="11"/>
  </r>
  <r>
    <s v="ORD10631"/>
    <d v="2024-12-14T00:00:00"/>
    <s v="Aarav Sharma"/>
    <s v="Technology"/>
    <s v="Keyboards"/>
    <x v="3"/>
    <s v="West"/>
    <s v="Maharashtra"/>
    <n v="337698"/>
    <n v="6"/>
    <n v="0"/>
    <n v="59001.01"/>
    <s v="Debit Card"/>
    <x v="0"/>
    <x v="3"/>
  </r>
  <r>
    <s v="ORD10632"/>
    <d v="2025-01-21T00:00:00"/>
    <s v="Sneha Joshi"/>
    <s v="Office Supplies"/>
    <s v="Binders"/>
    <x v="34"/>
    <s v="North"/>
    <s v="Uttar Pradesh"/>
    <n v="3600"/>
    <n v="8"/>
    <n v="0"/>
    <n v="948.03"/>
    <s v="UPI"/>
    <x v="1"/>
    <x v="6"/>
  </r>
  <r>
    <s v="ORD10633"/>
    <d v="2025-01-25T00:00:00"/>
    <s v="Rohan Khan"/>
    <s v="Technology"/>
    <s v="Laptops"/>
    <x v="12"/>
    <s v="West"/>
    <s v="Maharashtra"/>
    <n v="30861.599999999999"/>
    <n v="7"/>
    <n v="0.2"/>
    <n v="1248.06"/>
    <s v="UPI"/>
    <x v="1"/>
    <x v="6"/>
  </r>
  <r>
    <s v="ORD10634"/>
    <d v="2025-11-22T00:00:00"/>
    <s v="Aarav Sharma"/>
    <s v="Office Supplies"/>
    <s v="Staplers"/>
    <x v="7"/>
    <s v="South"/>
    <s v="Karnataka"/>
    <n v="3238.2"/>
    <n v="7"/>
    <n v="0.1"/>
    <n v="599.66"/>
    <s v="Cash"/>
    <x v="1"/>
    <x v="11"/>
  </r>
  <r>
    <s v="ORD10635"/>
    <d v="2025-06-05T00:00:00"/>
    <s v="Vikram Patel"/>
    <s v="Office Supplies"/>
    <s v="Pens"/>
    <x v="30"/>
    <s v="South"/>
    <s v="Karnataka"/>
    <n v="714.4"/>
    <n v="1"/>
    <n v="0.2"/>
    <n v="39.43"/>
    <s v="Debit Card"/>
    <x v="1"/>
    <x v="1"/>
  </r>
  <r>
    <s v="ORD10636"/>
    <d v="2025-03-22T00:00:00"/>
    <s v="Aditya Mehta"/>
    <s v="Furniture"/>
    <s v="Tables"/>
    <x v="26"/>
    <s v="West"/>
    <s v="Gujarat"/>
    <n v="6395.4"/>
    <n v="3"/>
    <n v="0.05"/>
    <n v="830.34"/>
    <s v="Debit Card"/>
    <x v="1"/>
    <x v="8"/>
  </r>
  <r>
    <s v="ORD10637"/>
    <d v="2025-06-14T00:00:00"/>
    <s v="Pooja Mishra"/>
    <s v="Furniture"/>
    <s v="Cabinets"/>
    <x v="38"/>
    <s v="South"/>
    <s v="Tamil Nadu"/>
    <n v="54162"/>
    <n v="5"/>
    <n v="0.1"/>
    <n v="13489.27"/>
    <s v="Credit Card"/>
    <x v="1"/>
    <x v="1"/>
  </r>
  <r>
    <s v="ORD10638"/>
    <d v="2025-05-02T00:00:00"/>
    <s v="Neha Yadav"/>
    <s v="Technology"/>
    <s v="Smartphones"/>
    <x v="13"/>
    <s v="North"/>
    <s v="Uttar Pradesh"/>
    <n v="51591.6"/>
    <n v="4"/>
    <n v="0.1"/>
    <n v="4791.37"/>
    <s v="Net Banking"/>
    <x v="1"/>
    <x v="7"/>
  </r>
  <r>
    <s v="ORD10639"/>
    <d v="2024-01-04T00:00:00"/>
    <s v="Ananya Gupta"/>
    <s v="Office Supplies"/>
    <s v="Pens"/>
    <x v="8"/>
    <s v="East"/>
    <s v="Bihar"/>
    <n v="11760"/>
    <n v="6"/>
    <n v="0"/>
    <n v="2107.23"/>
    <s v="Credit Card"/>
    <x v="0"/>
    <x v="6"/>
  </r>
  <r>
    <s v="ORD10640"/>
    <d v="2024-01-07T00:00:00"/>
    <s v="Sneha Joshi"/>
    <s v="Furniture"/>
    <s v="Cabinets"/>
    <x v="38"/>
    <s v="South"/>
    <s v="Tamil Nadu"/>
    <n v="66896.7"/>
    <n v="6"/>
    <n v="0.15"/>
    <n v="5308.18"/>
    <s v="UPI"/>
    <x v="0"/>
    <x v="6"/>
  </r>
  <r>
    <s v="ORD10641"/>
    <d v="2024-01-31T00:00:00"/>
    <s v="Ananya Gupta"/>
    <s v="Technology"/>
    <s v="Monitors"/>
    <x v="20"/>
    <s v="North"/>
    <s v="Delhi"/>
    <n v="135279"/>
    <n v="5"/>
    <n v="0.1"/>
    <n v="8628.23"/>
    <s v="Credit Card"/>
    <x v="0"/>
    <x v="6"/>
  </r>
  <r>
    <s v="ORD10642"/>
    <d v="2024-09-25T00:00:00"/>
    <s v="Priya Singh"/>
    <s v="Furniture"/>
    <s v="Desks"/>
    <x v="36"/>
    <s v="South"/>
    <s v="Telangana"/>
    <n v="25248.15"/>
    <n v="3"/>
    <n v="0.05"/>
    <n v="1812.78"/>
    <s v="UPI"/>
    <x v="0"/>
    <x v="10"/>
  </r>
  <r>
    <s v="ORD10643"/>
    <d v="2025-11-07T00:00:00"/>
    <s v="Rahul Verma"/>
    <s v="Office Supplies"/>
    <s v="Binders"/>
    <x v="4"/>
    <s v="West"/>
    <s v="Maharashtra"/>
    <n v="3898.8"/>
    <n v="4"/>
    <n v="0.1"/>
    <n v="845.64"/>
    <s v="Net Banking"/>
    <x v="1"/>
    <x v="11"/>
  </r>
  <r>
    <s v="ORD10644"/>
    <d v="2025-01-18T00:00:00"/>
    <s v="Sneha Joshi"/>
    <s v="Office Supplies"/>
    <s v="Staplers"/>
    <x v="21"/>
    <s v="North"/>
    <s v="Delhi"/>
    <n v="2124"/>
    <n v="3"/>
    <n v="0.2"/>
    <n v="224.38"/>
    <s v="Net Banking"/>
    <x v="1"/>
    <x v="6"/>
  </r>
  <r>
    <s v="ORD10645"/>
    <d v="2024-10-13T00:00:00"/>
    <s v="Rahul Verma"/>
    <s v="Furniture"/>
    <s v="Desks"/>
    <x v="36"/>
    <s v="North"/>
    <s v="Punjab"/>
    <n v="26923"/>
    <n v="5"/>
    <n v="0.05"/>
    <n v="2104.08"/>
    <s v="Net Banking"/>
    <x v="0"/>
    <x v="2"/>
  </r>
  <r>
    <s v="ORD10646"/>
    <d v="2025-06-15T00:00:00"/>
    <s v="Neha Yadav"/>
    <s v="Office Supplies"/>
    <s v="Staplers"/>
    <x v="7"/>
    <s v="South"/>
    <s v="Karnataka"/>
    <n v="2702.4"/>
    <n v="2"/>
    <n v="0.2"/>
    <n v="283.36"/>
    <s v="Credit Card"/>
    <x v="1"/>
    <x v="1"/>
  </r>
  <r>
    <s v="ORD10647"/>
    <d v="2024-07-26T00:00:00"/>
    <s v="Neha Yadav"/>
    <s v="Furniture"/>
    <s v="Bookcases"/>
    <x v="27"/>
    <s v="West"/>
    <s v="Goa"/>
    <n v="69690"/>
    <n v="5"/>
    <n v="0"/>
    <n v="8463.15"/>
    <s v="Credit Card"/>
    <x v="0"/>
    <x v="4"/>
  </r>
  <r>
    <s v="ORD10648"/>
    <d v="2024-03-27T00:00:00"/>
    <s v="Vikram Patel"/>
    <s v="Furniture"/>
    <s v="Desks"/>
    <x v="17"/>
    <s v="East"/>
    <s v="Jharkhand"/>
    <n v="31339.200000000001"/>
    <n v="3"/>
    <n v="0.2"/>
    <n v="1471.43"/>
    <s v="Cash"/>
    <x v="0"/>
    <x v="8"/>
  </r>
  <r>
    <s v="ORD10649"/>
    <d v="2025-05-24T00:00:00"/>
    <s v="Sneha Joshi"/>
    <s v="Office Supplies"/>
    <s v="Pens"/>
    <x v="8"/>
    <s v="South"/>
    <s v="Karnataka"/>
    <n v="10276.5"/>
    <n v="6"/>
    <n v="0.15"/>
    <n v="1277.27"/>
    <s v="Debit Card"/>
    <x v="1"/>
    <x v="7"/>
  </r>
  <r>
    <s v="ORD10650"/>
    <d v="2025-05-28T00:00:00"/>
    <s v="Aditya Mehta"/>
    <s v="Furniture"/>
    <s v="Chairs"/>
    <x v="5"/>
    <s v="South"/>
    <s v="Kerala"/>
    <n v="16430"/>
    <n v="5"/>
    <n v="0"/>
    <n v="2282.19"/>
    <s v="Net Banking"/>
    <x v="1"/>
    <x v="7"/>
  </r>
  <r>
    <s v="ORD10651"/>
    <d v="2024-07-20T00:00:00"/>
    <s v="Sneha Joshi"/>
    <s v="Office Supplies"/>
    <s v="Paper"/>
    <x v="0"/>
    <s v="East"/>
    <s v="Odisha"/>
    <n v="409.6"/>
    <n v="2"/>
    <n v="0.2"/>
    <n v="28.7"/>
    <s v="Debit Card"/>
    <x v="0"/>
    <x v="4"/>
  </r>
  <r>
    <s v="ORD10652"/>
    <d v="2025-02-17T00:00:00"/>
    <s v="Rohan Khan"/>
    <s v="Furniture"/>
    <s v="Bookcases"/>
    <x v="32"/>
    <s v="South"/>
    <s v="Tamil Nadu"/>
    <n v="47758.5"/>
    <n v="5"/>
    <n v="0.1"/>
    <n v="10106.92"/>
    <s v="Net Banking"/>
    <x v="1"/>
    <x v="0"/>
  </r>
  <r>
    <s v="ORD10653"/>
    <d v="2025-07-19T00:00:00"/>
    <s v="Neha Yadav"/>
    <s v="Office Supplies"/>
    <s v="Paper"/>
    <x v="37"/>
    <s v="West"/>
    <s v="Gujarat"/>
    <n v="7763.4"/>
    <n v="4"/>
    <n v="0.05"/>
    <n v="1324.94"/>
    <s v="Cash"/>
    <x v="1"/>
    <x v="4"/>
  </r>
  <r>
    <s v="ORD10654"/>
    <d v="2024-05-22T00:00:00"/>
    <s v="Pooja Mishra"/>
    <s v="Furniture"/>
    <s v="Chairs"/>
    <x v="25"/>
    <s v="East"/>
    <s v="Odisha"/>
    <n v="84974.399999999994"/>
    <n v="7"/>
    <n v="0.2"/>
    <n v="3060.85"/>
    <s v="Credit Card"/>
    <x v="0"/>
    <x v="7"/>
  </r>
  <r>
    <s v="ORD10655"/>
    <d v="2025-08-24T00:00:00"/>
    <s v="Aarav Sharma"/>
    <s v="Furniture"/>
    <s v="Chairs"/>
    <x v="25"/>
    <s v="West"/>
    <s v="Rajasthan"/>
    <n v="47196.800000000003"/>
    <n v="4"/>
    <n v="0.2"/>
    <n v="4244.29"/>
    <s v="Net Banking"/>
    <x v="1"/>
    <x v="9"/>
  </r>
  <r>
    <s v="ORD10656"/>
    <d v="2024-07-11T00:00:00"/>
    <s v="Neha Yadav"/>
    <s v="Technology"/>
    <s v="Smartphones"/>
    <x v="1"/>
    <s v="South"/>
    <s v="Telangana"/>
    <n v="183330"/>
    <n v="7"/>
    <n v="0"/>
    <n v="34264.03"/>
    <s v="UPI"/>
    <x v="0"/>
    <x v="4"/>
  </r>
  <r>
    <s v="ORD10657"/>
    <d v="2024-07-10T00:00:00"/>
    <s v="Ananya Gupta"/>
    <s v="Furniture"/>
    <s v="Cabinets"/>
    <x v="40"/>
    <s v="West"/>
    <s v="Rajasthan"/>
    <n v="15888"/>
    <n v="3"/>
    <n v="0.2"/>
    <n v="2029.26"/>
    <s v="UPI"/>
    <x v="0"/>
    <x v="4"/>
  </r>
  <r>
    <s v="ORD10658"/>
    <d v="2024-11-30T00:00:00"/>
    <s v="Rohan Khan"/>
    <s v="Furniture"/>
    <s v="Bookcases"/>
    <x v="27"/>
    <s v="South"/>
    <s v="Tamil Nadu"/>
    <n v="4291.2"/>
    <n v="2"/>
    <n v="0.2"/>
    <n v="138.22"/>
    <s v="Cash"/>
    <x v="0"/>
    <x v="11"/>
  </r>
  <r>
    <s v="ORD10659"/>
    <d v="2025-12-27T00:00:00"/>
    <s v="Neha Yadav"/>
    <s v="Technology"/>
    <s v="Laptops"/>
    <x v="12"/>
    <s v="South"/>
    <s v="Kerala"/>
    <n v="50716.7"/>
    <n v="2"/>
    <n v="0.05"/>
    <n v="6565.35"/>
    <s v="Credit Card"/>
    <x v="1"/>
    <x v="3"/>
  </r>
  <r>
    <s v="ORD10660"/>
    <d v="2025-02-12T00:00:00"/>
    <s v="Pooja Mishra"/>
    <s v="Office Supplies"/>
    <s v="Storage Boxes"/>
    <x v="18"/>
    <s v="East"/>
    <s v="Odisha"/>
    <n v="988"/>
    <n v="8"/>
    <n v="0.05"/>
    <n v="154.77000000000001"/>
    <s v="Credit Card"/>
    <x v="1"/>
    <x v="0"/>
  </r>
  <r>
    <s v="ORD10661"/>
    <d v="2025-12-29T00:00:00"/>
    <s v="Vikram Patel"/>
    <s v="Office Supplies"/>
    <s v="Pens"/>
    <x v="8"/>
    <s v="West"/>
    <s v="Goa"/>
    <n v="1087.1500000000001"/>
    <n v="1"/>
    <n v="0.15"/>
    <n v="121.6"/>
    <s v="Cash"/>
    <x v="1"/>
    <x v="3"/>
  </r>
  <r>
    <s v="ORD10662"/>
    <d v="2025-12-16T00:00:00"/>
    <s v="Aarav Sharma"/>
    <s v="Office Supplies"/>
    <s v="Binders"/>
    <x v="34"/>
    <s v="West"/>
    <s v="Gujarat"/>
    <n v="4765.6000000000004"/>
    <n v="7"/>
    <n v="0.2"/>
    <n v="234.02"/>
    <s v="Credit Card"/>
    <x v="1"/>
    <x v="3"/>
  </r>
  <r>
    <s v="ORD10663"/>
    <d v="2025-01-12T00:00:00"/>
    <s v="Priya Singh"/>
    <s v="Technology"/>
    <s v="Monitors"/>
    <x v="16"/>
    <s v="East"/>
    <s v="West Bengal"/>
    <n v="194412.79999999999"/>
    <n v="4"/>
    <n v="0.2"/>
    <n v="10546.14"/>
    <s v="UPI"/>
    <x v="1"/>
    <x v="6"/>
  </r>
  <r>
    <s v="ORD10664"/>
    <d v="2025-10-16T00:00:00"/>
    <s v="Neha Yadav"/>
    <s v="Office Supplies"/>
    <s v="Pens"/>
    <x v="30"/>
    <s v="West"/>
    <s v="Goa"/>
    <n v="1198.5"/>
    <n v="5"/>
    <n v="0.15"/>
    <n v="57.34"/>
    <s v="Cash"/>
    <x v="1"/>
    <x v="2"/>
  </r>
  <r>
    <s v="ORD10665"/>
    <d v="2025-04-20T00:00:00"/>
    <s v="Neha Yadav"/>
    <s v="Furniture"/>
    <s v="Tables"/>
    <x v="26"/>
    <s v="South"/>
    <s v="Kerala"/>
    <n v="4101.3"/>
    <n v="1"/>
    <n v="0.1"/>
    <n v="775.39"/>
    <s v="Cash"/>
    <x v="1"/>
    <x v="5"/>
  </r>
  <r>
    <s v="ORD10666"/>
    <d v="2025-09-13T00:00:00"/>
    <s v="Priya Singh"/>
    <s v="Technology"/>
    <s v="Laptops"/>
    <x v="44"/>
    <s v="South"/>
    <s v="Kerala"/>
    <n v="417749.2"/>
    <n v="8"/>
    <n v="0.05"/>
    <n v="98254.27"/>
    <s v="Credit Card"/>
    <x v="1"/>
    <x v="10"/>
  </r>
  <r>
    <s v="ORD10667"/>
    <d v="2024-08-09T00:00:00"/>
    <s v="Aarav Sharma"/>
    <s v="Furniture"/>
    <s v="Chairs"/>
    <x v="5"/>
    <s v="West"/>
    <s v="Gujarat"/>
    <n v="8290.0499999999993"/>
    <n v="1"/>
    <n v="0.15"/>
    <n v="946.04"/>
    <s v="Net Banking"/>
    <x v="0"/>
    <x v="9"/>
  </r>
  <r>
    <s v="ORD10668"/>
    <d v="2024-07-25T00:00:00"/>
    <s v="Ananya Gupta"/>
    <s v="Technology"/>
    <s v="Keyboards"/>
    <x v="15"/>
    <s v="North"/>
    <s v="Delhi"/>
    <n v="151485"/>
    <n v="5"/>
    <n v="0"/>
    <n v="35520.5"/>
    <s v="Debit Card"/>
    <x v="0"/>
    <x v="4"/>
  </r>
  <r>
    <s v="ORD10669"/>
    <d v="2024-04-08T00:00:00"/>
    <s v="Rahul Verma"/>
    <s v="Technology"/>
    <s v="Smartphones"/>
    <x v="13"/>
    <s v="North"/>
    <s v="Delhi"/>
    <n v="2154"/>
    <n v="1"/>
    <n v="0"/>
    <n v="267.33999999999997"/>
    <s v="Credit Card"/>
    <x v="0"/>
    <x v="5"/>
  </r>
  <r>
    <s v="ORD10670"/>
    <d v="2024-05-03T00:00:00"/>
    <s v="Ananya Gupta"/>
    <s v="Technology"/>
    <s v="Keyboards"/>
    <x v="15"/>
    <s v="North"/>
    <s v="Haryana"/>
    <n v="143269.20000000001"/>
    <n v="4"/>
    <n v="0.15"/>
    <n v="32992.699999999997"/>
    <s v="Credit Card"/>
    <x v="0"/>
    <x v="7"/>
  </r>
  <r>
    <s v="ORD10671"/>
    <d v="2024-08-13T00:00:00"/>
    <s v="Priya Singh"/>
    <s v="Technology"/>
    <s v="Monitors"/>
    <x v="20"/>
    <s v="East"/>
    <s v="Odisha"/>
    <n v="262157"/>
    <n v="7"/>
    <n v="0.15"/>
    <n v="22297.39"/>
    <s v="Debit Card"/>
    <x v="0"/>
    <x v="9"/>
  </r>
  <r>
    <s v="ORD10672"/>
    <d v="2025-08-05T00:00:00"/>
    <s v="Rahul Verma"/>
    <s v="Office Supplies"/>
    <s v="Storage Boxes"/>
    <x v="14"/>
    <s v="East"/>
    <s v="West Bengal"/>
    <n v="8584"/>
    <n v="4"/>
    <n v="0"/>
    <n v="1909.99"/>
    <s v="Debit Card"/>
    <x v="1"/>
    <x v="9"/>
  </r>
  <r>
    <s v="ORD10673"/>
    <d v="2024-01-19T00:00:00"/>
    <s v="Pooja Mishra"/>
    <s v="Technology"/>
    <s v="Printers"/>
    <x v="33"/>
    <s v="East"/>
    <s v="Jharkhand"/>
    <n v="58550.55"/>
    <n v="3"/>
    <n v="0.15"/>
    <n v="3278.99"/>
    <s v="Net Banking"/>
    <x v="0"/>
    <x v="6"/>
  </r>
  <r>
    <s v="ORD10674"/>
    <d v="2024-09-06T00:00:00"/>
    <s v="Pooja Mishra"/>
    <s v="Furniture"/>
    <s v="Tables"/>
    <x v="26"/>
    <s v="South"/>
    <s v="Karnataka"/>
    <n v="4621.75"/>
    <n v="1"/>
    <n v="0.05"/>
    <n v="994.06"/>
    <s v="UPI"/>
    <x v="0"/>
    <x v="10"/>
  </r>
  <r>
    <s v="ORD10675"/>
    <d v="2025-09-04T00:00:00"/>
    <s v="Neha Yadav"/>
    <s v="Technology"/>
    <s v="Smartphones"/>
    <x v="13"/>
    <s v="East"/>
    <s v="Jharkhand"/>
    <n v="44556"/>
    <n v="4"/>
    <n v="0"/>
    <n v="5685.92"/>
    <s v="Debit Card"/>
    <x v="1"/>
    <x v="10"/>
  </r>
  <r>
    <s v="ORD10676"/>
    <d v="2024-12-05T00:00:00"/>
    <s v="Sneha Joshi"/>
    <s v="Technology"/>
    <s v="Monitors"/>
    <x v="16"/>
    <s v="East"/>
    <s v="West Bengal"/>
    <n v="290405.5"/>
    <n v="7"/>
    <n v="0.05"/>
    <n v="68793.279999999999"/>
    <s v="Credit Card"/>
    <x v="0"/>
    <x v="3"/>
  </r>
  <r>
    <s v="ORD10677"/>
    <d v="2025-10-06T00:00:00"/>
    <s v="Aarav Sharma"/>
    <s v="Technology"/>
    <s v="Printers"/>
    <x v="33"/>
    <s v="North"/>
    <s v="Punjab"/>
    <n v="147780"/>
    <n v="4"/>
    <n v="0.1"/>
    <n v="13552.77"/>
    <s v="UPI"/>
    <x v="1"/>
    <x v="2"/>
  </r>
  <r>
    <s v="ORD10678"/>
    <d v="2025-07-16T00:00:00"/>
    <s v="Ananya Gupta"/>
    <s v="Furniture"/>
    <s v="Chairs"/>
    <x v="23"/>
    <s v="South"/>
    <s v="Karnataka"/>
    <n v="22473"/>
    <n v="3"/>
    <n v="0"/>
    <n v="2578.44"/>
    <s v="Credit Card"/>
    <x v="1"/>
    <x v="4"/>
  </r>
  <r>
    <s v="ORD10679"/>
    <d v="2024-09-11T00:00:00"/>
    <s v="Vikram Patel"/>
    <s v="Office Supplies"/>
    <s v="Paper"/>
    <x v="37"/>
    <s v="West"/>
    <s v="Goa"/>
    <n v="2812.65"/>
    <n v="3"/>
    <n v="0.15"/>
    <n v="218.79"/>
    <s v="Debit Card"/>
    <x v="0"/>
    <x v="10"/>
  </r>
  <r>
    <s v="ORD10680"/>
    <d v="2025-03-27T00:00:00"/>
    <s v="Rohan Khan"/>
    <s v="Office Supplies"/>
    <s v="Staplers"/>
    <x v="7"/>
    <s v="South"/>
    <s v="Telangana"/>
    <n v="2942.7"/>
    <n v="2"/>
    <n v="0.15"/>
    <n v="223.8"/>
    <s v="Net Banking"/>
    <x v="1"/>
    <x v="8"/>
  </r>
  <r>
    <s v="ORD10681"/>
    <d v="2025-07-20T00:00:00"/>
    <s v="Rahul Verma"/>
    <s v="Office Supplies"/>
    <s v="Staplers"/>
    <x v="21"/>
    <s v="South"/>
    <s v="Kerala"/>
    <n v="7442.4"/>
    <n v="7"/>
    <n v="0.2"/>
    <n v="1022.88"/>
    <s v="Debit Card"/>
    <x v="1"/>
    <x v="4"/>
  </r>
  <r>
    <s v="ORD10682"/>
    <d v="2025-04-25T00:00:00"/>
    <s v="Ananya Gupta"/>
    <s v="Furniture"/>
    <s v="Tables"/>
    <x v="31"/>
    <s v="East"/>
    <s v="Jharkhand"/>
    <n v="104302.8"/>
    <n v="7"/>
    <n v="0.1"/>
    <n v="8587.3799999999992"/>
    <s v="Credit Card"/>
    <x v="1"/>
    <x v="5"/>
  </r>
  <r>
    <s v="ORD10683"/>
    <d v="2024-11-11T00:00:00"/>
    <s v="Pooja Mishra"/>
    <s v="Technology"/>
    <s v="Laptops"/>
    <x v="12"/>
    <s v="North"/>
    <s v="Haryana"/>
    <n v="389755.8"/>
    <n v="7"/>
    <n v="0.1"/>
    <n v="51372.73"/>
    <s v="UPI"/>
    <x v="0"/>
    <x v="11"/>
  </r>
  <r>
    <s v="ORD10684"/>
    <d v="2025-05-15T00:00:00"/>
    <s v="Sneha Joshi"/>
    <s v="Furniture"/>
    <s v="Chairs"/>
    <x v="23"/>
    <s v="North"/>
    <s v="Uttar Pradesh"/>
    <n v="40759.199999999997"/>
    <n v="3"/>
    <n v="0.1"/>
    <n v="6396"/>
    <s v="UPI"/>
    <x v="1"/>
    <x v="7"/>
  </r>
  <r>
    <s v="ORD10685"/>
    <d v="2025-04-11T00:00:00"/>
    <s v="Rahul Verma"/>
    <s v="Office Supplies"/>
    <s v="Staplers"/>
    <x v="21"/>
    <s v="West"/>
    <s v="Gujarat"/>
    <n v="1634"/>
    <n v="8"/>
    <n v="0.05"/>
    <n v="195.7"/>
    <s v="Debit Card"/>
    <x v="1"/>
    <x v="5"/>
  </r>
  <r>
    <s v="ORD10686"/>
    <d v="2024-03-23T00:00:00"/>
    <s v="Aditya Mehta"/>
    <s v="Technology"/>
    <s v="Printers"/>
    <x v="35"/>
    <s v="South"/>
    <s v="Karnataka"/>
    <n v="69489.600000000006"/>
    <n v="2"/>
    <n v="0.2"/>
    <n v="15623.29"/>
    <s v="Credit Card"/>
    <x v="0"/>
    <x v="8"/>
  </r>
  <r>
    <s v="ORD10687"/>
    <d v="2024-04-01T00:00:00"/>
    <s v="Priya Singh"/>
    <s v="Furniture"/>
    <s v="Desks"/>
    <x v="36"/>
    <s v="West"/>
    <s v="Rajasthan"/>
    <n v="60043.5"/>
    <n v="5"/>
    <n v="0.1"/>
    <n v="12115.98"/>
    <s v="Net Banking"/>
    <x v="0"/>
    <x v="5"/>
  </r>
  <r>
    <s v="ORD10688"/>
    <d v="2024-01-02T00:00:00"/>
    <s v="Priya Singh"/>
    <s v="Furniture"/>
    <s v="Desks"/>
    <x v="36"/>
    <s v="East"/>
    <s v="Odisha"/>
    <n v="72451.75"/>
    <n v="7"/>
    <n v="0.05"/>
    <n v="16720.259999999998"/>
    <s v="UPI"/>
    <x v="0"/>
    <x v="6"/>
  </r>
  <r>
    <s v="ORD10689"/>
    <d v="2024-07-21T00:00:00"/>
    <s v="Neha Yadav"/>
    <s v="Office Supplies"/>
    <s v="Staplers"/>
    <x v="29"/>
    <s v="West"/>
    <s v="Rajasthan"/>
    <n v="10866.1"/>
    <n v="7"/>
    <n v="0.05"/>
    <n v="2263.5100000000002"/>
    <s v="Credit Card"/>
    <x v="0"/>
    <x v="4"/>
  </r>
  <r>
    <s v="ORD10690"/>
    <d v="2025-02-22T00:00:00"/>
    <s v="Neha Yadav"/>
    <s v="Office Supplies"/>
    <s v="Paper"/>
    <x v="0"/>
    <s v="West"/>
    <s v="Gujarat"/>
    <n v="3186"/>
    <n v="4"/>
    <n v="0.1"/>
    <n v="801.56"/>
    <s v="Net Banking"/>
    <x v="1"/>
    <x v="0"/>
  </r>
  <r>
    <s v="ORD10691"/>
    <d v="2024-08-28T00:00:00"/>
    <s v="Neha Yadav"/>
    <s v="Technology"/>
    <s v="Smartphones"/>
    <x v="10"/>
    <s v="North"/>
    <s v="Haryana"/>
    <n v="59037.3"/>
    <n v="7"/>
    <n v="0.1"/>
    <n v="3597.34"/>
    <s v="Cash"/>
    <x v="0"/>
    <x v="9"/>
  </r>
  <r>
    <s v="ORD10692"/>
    <d v="2024-01-08T00:00:00"/>
    <s v="Rohan Khan"/>
    <s v="Office Supplies"/>
    <s v="Paper"/>
    <x v="37"/>
    <s v="North"/>
    <s v="Delhi"/>
    <n v="471.2"/>
    <n v="1"/>
    <n v="0.05"/>
    <n v="81.03"/>
    <s v="Net Banking"/>
    <x v="0"/>
    <x v="6"/>
  </r>
  <r>
    <s v="ORD10693"/>
    <d v="2025-01-04T00:00:00"/>
    <s v="Rohan Khan"/>
    <s v="Office Supplies"/>
    <s v="Pens"/>
    <x v="8"/>
    <s v="West"/>
    <s v="Goa"/>
    <n v="9481.5"/>
    <n v="7"/>
    <n v="0.1"/>
    <n v="2070.4699999999998"/>
    <s v="Cash"/>
    <x v="1"/>
    <x v="6"/>
  </r>
  <r>
    <s v="ORD10694"/>
    <d v="2025-06-27T00:00:00"/>
    <s v="Vikram Patel"/>
    <s v="Office Supplies"/>
    <s v="Paper"/>
    <x v="0"/>
    <s v="East"/>
    <s v="Bihar"/>
    <n v="668"/>
    <n v="1"/>
    <n v="0"/>
    <n v="133.86000000000001"/>
    <s v="Credit Card"/>
    <x v="1"/>
    <x v="1"/>
  </r>
  <r>
    <s v="ORD10695"/>
    <d v="2024-11-29T00:00:00"/>
    <s v="Neha Yadav"/>
    <s v="Furniture"/>
    <s v="Tables"/>
    <x v="24"/>
    <s v="West"/>
    <s v="Goa"/>
    <n v="40885.199999999997"/>
    <n v="4"/>
    <n v="0.1"/>
    <n v="9390.7900000000009"/>
    <s v="Credit Card"/>
    <x v="0"/>
    <x v="11"/>
  </r>
  <r>
    <s v="ORD10696"/>
    <d v="2024-07-18T00:00:00"/>
    <s v="Rahul Verma"/>
    <s v="Office Supplies"/>
    <s v="Staplers"/>
    <x v="7"/>
    <s v="West"/>
    <s v="Maharashtra"/>
    <n v="3040.45"/>
    <n v="7"/>
    <n v="0.15"/>
    <n v="307.91000000000003"/>
    <s v="Net Banking"/>
    <x v="0"/>
    <x v="4"/>
  </r>
  <r>
    <s v="ORD10697"/>
    <d v="2025-05-08T00:00:00"/>
    <s v="Aditya Mehta"/>
    <s v="Office Supplies"/>
    <s v="Storage Boxes"/>
    <x v="6"/>
    <s v="North"/>
    <s v="Punjab"/>
    <n v="1339.6"/>
    <n v="2"/>
    <n v="0.15"/>
    <n v="312.81"/>
    <s v="Credit Card"/>
    <x v="1"/>
    <x v="7"/>
  </r>
  <r>
    <s v="ORD10698"/>
    <d v="2024-10-14T00:00:00"/>
    <s v="Ananya Gupta"/>
    <s v="Technology"/>
    <s v="Smartphones"/>
    <x v="10"/>
    <s v="South"/>
    <s v="Karnataka"/>
    <n v="303080.40000000002"/>
    <n v="7"/>
    <n v="0.1"/>
    <n v="71384.44"/>
    <s v="Debit Card"/>
    <x v="0"/>
    <x v="2"/>
  </r>
  <r>
    <s v="ORD10699"/>
    <d v="2025-09-07T00:00:00"/>
    <s v="Priya Singh"/>
    <s v="Office Supplies"/>
    <s v="Staplers"/>
    <x v="29"/>
    <s v="North"/>
    <s v="Punjab"/>
    <n v="6502.4"/>
    <n v="8"/>
    <n v="0.2"/>
    <n v="1191.68"/>
    <s v="Debit Card"/>
    <x v="1"/>
    <x v="10"/>
  </r>
  <r>
    <s v="ORD10700"/>
    <d v="2025-08-29T00:00:00"/>
    <s v="Ananya Gupta"/>
    <s v="Furniture"/>
    <s v="Tables"/>
    <x v="26"/>
    <s v="West"/>
    <s v="Gujarat"/>
    <n v="51670"/>
    <n v="5"/>
    <n v="0"/>
    <n v="5054.7700000000004"/>
    <s v="UPI"/>
    <x v="1"/>
    <x v="9"/>
  </r>
  <r>
    <s v="ORD10701"/>
    <d v="2025-03-09T00:00:00"/>
    <s v="Sneha Joshi"/>
    <s v="Office Supplies"/>
    <s v="Pens"/>
    <x v="8"/>
    <s v="South"/>
    <s v="Telangana"/>
    <n v="2178.35"/>
    <n v="1"/>
    <n v="0.05"/>
    <n v="516.1"/>
    <s v="Debit Card"/>
    <x v="1"/>
    <x v="8"/>
  </r>
  <r>
    <s v="ORD10702"/>
    <d v="2024-10-30T00:00:00"/>
    <s v="Ananya Gupta"/>
    <s v="Office Supplies"/>
    <s v="Binders"/>
    <x v="4"/>
    <s v="South"/>
    <s v="Karnataka"/>
    <n v="1324.3"/>
    <n v="1"/>
    <n v="0.05"/>
    <n v="305.56"/>
    <s v="Cash"/>
    <x v="0"/>
    <x v="2"/>
  </r>
  <r>
    <s v="ORD10703"/>
    <d v="2024-05-06T00:00:00"/>
    <s v="Vikram Patel"/>
    <s v="Office Supplies"/>
    <s v="Staplers"/>
    <x v="21"/>
    <s v="South"/>
    <s v="Telangana"/>
    <n v="1092"/>
    <n v="1"/>
    <n v="0.2"/>
    <n v="249.05"/>
    <s v="Net Banking"/>
    <x v="0"/>
    <x v="7"/>
  </r>
  <r>
    <s v="ORD10704"/>
    <d v="2024-08-18T00:00:00"/>
    <s v="Aarav Sharma"/>
    <s v="Furniture"/>
    <s v="Desks"/>
    <x v="36"/>
    <s v="West"/>
    <s v="Rajasthan"/>
    <n v="77911.399999999994"/>
    <n v="7"/>
    <n v="0.05"/>
    <n v="18473.88"/>
    <s v="Credit Card"/>
    <x v="0"/>
    <x v="9"/>
  </r>
  <r>
    <s v="ORD10705"/>
    <d v="2025-02-04T00:00:00"/>
    <s v="Priya Singh"/>
    <s v="Furniture"/>
    <s v="Tables"/>
    <x v="26"/>
    <s v="East"/>
    <s v="Odisha"/>
    <n v="92244.6"/>
    <n v="7"/>
    <n v="0.1"/>
    <n v="19052.46"/>
    <s v="Net Banking"/>
    <x v="1"/>
    <x v="0"/>
  </r>
  <r>
    <s v="ORD10706"/>
    <d v="2024-02-25T00:00:00"/>
    <s v="Vikram Patel"/>
    <s v="Office Supplies"/>
    <s v="Pens"/>
    <x v="41"/>
    <s v="East"/>
    <s v="Odisha"/>
    <n v="7974.4"/>
    <n v="7"/>
    <n v="0.2"/>
    <n v="1620.17"/>
    <s v="Cash"/>
    <x v="0"/>
    <x v="0"/>
  </r>
  <r>
    <s v="ORD10707"/>
    <d v="2024-07-19T00:00:00"/>
    <s v="Aarav Sharma"/>
    <s v="Office Supplies"/>
    <s v="Binders"/>
    <x v="22"/>
    <s v="South"/>
    <s v="Kerala"/>
    <n v="7288.4"/>
    <n v="8"/>
    <n v="0.05"/>
    <n v="1664.46"/>
    <s v="Debit Card"/>
    <x v="0"/>
    <x v="4"/>
  </r>
  <r>
    <s v="ORD10708"/>
    <d v="2025-04-30T00:00:00"/>
    <s v="Rahul Verma"/>
    <s v="Office Supplies"/>
    <s v="Storage Boxes"/>
    <x v="6"/>
    <s v="North"/>
    <s v="Punjab"/>
    <n v="2310"/>
    <n v="7"/>
    <n v="0"/>
    <n v="349.08"/>
    <s v="UPI"/>
    <x v="1"/>
    <x v="5"/>
  </r>
  <r>
    <s v="ORD10709"/>
    <d v="2024-11-05T00:00:00"/>
    <s v="Pooja Mishra"/>
    <s v="Technology"/>
    <s v="Printers"/>
    <x v="35"/>
    <s v="East"/>
    <s v="Jharkhand"/>
    <n v="114752.4"/>
    <n v="7"/>
    <n v="0.05"/>
    <n v="16848.98"/>
    <s v="Credit Card"/>
    <x v="0"/>
    <x v="11"/>
  </r>
  <r>
    <s v="ORD10710"/>
    <d v="2024-03-25T00:00:00"/>
    <s v="Priya Singh"/>
    <s v="Office Supplies"/>
    <s v="Staplers"/>
    <x v="29"/>
    <s v="North"/>
    <s v="Uttar Pradesh"/>
    <n v="11228"/>
    <n v="7"/>
    <n v="0"/>
    <n v="1167.71"/>
    <s v="Cash"/>
    <x v="0"/>
    <x v="8"/>
  </r>
  <r>
    <s v="ORD10711"/>
    <d v="2025-10-22T00:00:00"/>
    <s v="Rohan Khan"/>
    <s v="Office Supplies"/>
    <s v="Storage Boxes"/>
    <x v="18"/>
    <s v="South"/>
    <s v="Karnataka"/>
    <n v="5718.8"/>
    <n v="8"/>
    <n v="0.15"/>
    <n v="796.85"/>
    <s v="Debit Card"/>
    <x v="1"/>
    <x v="2"/>
  </r>
  <r>
    <s v="ORD10712"/>
    <d v="2025-06-26T00:00:00"/>
    <s v="Neha Yadav"/>
    <s v="Office Supplies"/>
    <s v="Binders"/>
    <x v="34"/>
    <s v="North"/>
    <s v="Haryana"/>
    <n v="4108.8"/>
    <n v="3"/>
    <n v="0.2"/>
    <n v="795.02"/>
    <s v="UPI"/>
    <x v="1"/>
    <x v="1"/>
  </r>
  <r>
    <s v="ORD10713"/>
    <d v="2024-11-17T00:00:00"/>
    <s v="Priya Singh"/>
    <s v="Office Supplies"/>
    <s v="Storage Boxes"/>
    <x v="18"/>
    <s v="North"/>
    <s v="Punjab"/>
    <n v="193.6"/>
    <n v="2"/>
    <n v="0.2"/>
    <n v="23.12"/>
    <s v="UPI"/>
    <x v="0"/>
    <x v="11"/>
  </r>
  <r>
    <s v="ORD10714"/>
    <d v="2025-01-07T00:00:00"/>
    <s v="Aditya Mehta"/>
    <s v="Technology"/>
    <s v="Printers"/>
    <x v="35"/>
    <s v="South"/>
    <s v="Tamil Nadu"/>
    <n v="285000"/>
    <n v="5"/>
    <n v="0"/>
    <n v="51650.45"/>
    <s v="Credit Card"/>
    <x v="1"/>
    <x v="6"/>
  </r>
  <r>
    <s v="ORD10715"/>
    <d v="2024-11-16T00:00:00"/>
    <s v="Aditya Mehta"/>
    <s v="Furniture"/>
    <s v="Chairs"/>
    <x v="5"/>
    <s v="South"/>
    <s v="Telangana"/>
    <n v="61516"/>
    <n v="5"/>
    <n v="0.2"/>
    <n v="7879.5"/>
    <s v="Debit Card"/>
    <x v="0"/>
    <x v="11"/>
  </r>
  <r>
    <s v="ORD10716"/>
    <d v="2024-08-08T00:00:00"/>
    <s v="Rahul Verma"/>
    <s v="Office Supplies"/>
    <s v="Storage Boxes"/>
    <x v="18"/>
    <s v="South"/>
    <s v="Karnataka"/>
    <n v="826.5"/>
    <n v="1"/>
    <n v="0.05"/>
    <n v="105.33"/>
    <s v="Net Banking"/>
    <x v="0"/>
    <x v="9"/>
  </r>
  <r>
    <s v="ORD10717"/>
    <d v="2024-06-16T00:00:00"/>
    <s v="Rohan Khan"/>
    <s v="Office Supplies"/>
    <s v="Binders"/>
    <x v="34"/>
    <s v="East"/>
    <s v="Bihar"/>
    <n v="6943.65"/>
    <n v="7"/>
    <n v="0.15"/>
    <n v="1197.46"/>
    <s v="Cash"/>
    <x v="0"/>
    <x v="1"/>
  </r>
  <r>
    <s v="ORD10718"/>
    <d v="2025-10-25T00:00:00"/>
    <s v="Aditya Mehta"/>
    <s v="Technology"/>
    <s v="Monitors"/>
    <x v="16"/>
    <s v="West"/>
    <s v="Gujarat"/>
    <n v="20966.400000000001"/>
    <n v="4"/>
    <n v="0.1"/>
    <n v="3516.66"/>
    <s v="Net Banking"/>
    <x v="1"/>
    <x v="2"/>
  </r>
  <r>
    <s v="ORD10719"/>
    <d v="2024-04-22T00:00:00"/>
    <s v="Aditya Mehta"/>
    <s v="Technology"/>
    <s v="Keyboards"/>
    <x v="15"/>
    <s v="South"/>
    <s v="Telangana"/>
    <n v="18257.400000000001"/>
    <n v="7"/>
    <n v="0.1"/>
    <n v="1459.21"/>
    <s v="Cash"/>
    <x v="0"/>
    <x v="5"/>
  </r>
  <r>
    <s v="ORD10720"/>
    <d v="2024-08-15T00:00:00"/>
    <s v="Rohan Khan"/>
    <s v="Technology"/>
    <s v="Monitors"/>
    <x v="11"/>
    <s v="North"/>
    <s v="Haryana"/>
    <n v="53945"/>
    <n v="5"/>
    <n v="0"/>
    <n v="5372.35"/>
    <s v="UPI"/>
    <x v="0"/>
    <x v="9"/>
  </r>
  <r>
    <s v="ORD10721"/>
    <d v="2024-02-19T00:00:00"/>
    <s v="Rahul Verma"/>
    <s v="Technology"/>
    <s v="Smartphones"/>
    <x v="10"/>
    <s v="East"/>
    <s v="Jharkhand"/>
    <n v="254367"/>
    <n v="6"/>
    <n v="0.1"/>
    <n v="44894.09"/>
    <s v="Debit Card"/>
    <x v="0"/>
    <x v="0"/>
  </r>
  <r>
    <s v="ORD10722"/>
    <d v="2024-05-26T00:00:00"/>
    <s v="Rohan Khan"/>
    <s v="Furniture"/>
    <s v="Desks"/>
    <x v="17"/>
    <s v="East"/>
    <s v="Jharkhand"/>
    <n v="3166.35"/>
    <n v="3"/>
    <n v="0.05"/>
    <n v="630.14"/>
    <s v="Net Banking"/>
    <x v="0"/>
    <x v="7"/>
  </r>
  <r>
    <s v="ORD10723"/>
    <d v="2024-12-28T00:00:00"/>
    <s v="Neha Yadav"/>
    <s v="Office Supplies"/>
    <s v="Pens"/>
    <x v="41"/>
    <s v="North"/>
    <s v="Haryana"/>
    <n v="7505"/>
    <n v="4"/>
    <n v="0.05"/>
    <n v="1165.47"/>
    <s v="Net Banking"/>
    <x v="0"/>
    <x v="3"/>
  </r>
  <r>
    <s v="ORD10724"/>
    <d v="2025-10-11T00:00:00"/>
    <s v="Priya Singh"/>
    <s v="Furniture"/>
    <s v="Bookcases"/>
    <x v="27"/>
    <s v="West"/>
    <s v="Gujarat"/>
    <n v="19467"/>
    <n v="2"/>
    <n v="0.1"/>
    <n v="4361.5600000000004"/>
    <s v="UPI"/>
    <x v="1"/>
    <x v="2"/>
  </r>
  <r>
    <s v="ORD10725"/>
    <d v="2024-01-11T00:00:00"/>
    <s v="Rohan Khan"/>
    <s v="Office Supplies"/>
    <s v="Binders"/>
    <x v="22"/>
    <s v="North"/>
    <s v="Punjab"/>
    <n v="2013.65"/>
    <n v="1"/>
    <n v="0.15"/>
    <n v="411.13"/>
    <s v="Net Banking"/>
    <x v="0"/>
    <x v="6"/>
  </r>
  <r>
    <s v="ORD10726"/>
    <d v="2025-12-20T00:00:00"/>
    <s v="Aditya Mehta"/>
    <s v="Office Supplies"/>
    <s v="Binders"/>
    <x v="22"/>
    <s v="West"/>
    <s v="Goa"/>
    <n v="1756"/>
    <n v="2"/>
    <n v="0"/>
    <n v="391.29"/>
    <s v="Debit Card"/>
    <x v="1"/>
    <x v="3"/>
  </r>
  <r>
    <s v="ORD10727"/>
    <d v="2024-02-22T00:00:00"/>
    <s v="Rohan Khan"/>
    <s v="Technology"/>
    <s v="Printers"/>
    <x v="35"/>
    <s v="North"/>
    <s v="Uttar Pradesh"/>
    <n v="48092.800000000003"/>
    <n v="4"/>
    <n v="0.05"/>
    <n v="8187.17"/>
    <s v="Cash"/>
    <x v="0"/>
    <x v="0"/>
  </r>
  <r>
    <s v="ORD10728"/>
    <d v="2024-09-28T00:00:00"/>
    <s v="Ananya Gupta"/>
    <s v="Furniture"/>
    <s v="Desks"/>
    <x v="17"/>
    <s v="East"/>
    <s v="West Bengal"/>
    <n v="16783.2"/>
    <n v="4"/>
    <n v="0.1"/>
    <n v="2544.75"/>
    <s v="UPI"/>
    <x v="0"/>
    <x v="10"/>
  </r>
  <r>
    <s v="ORD10729"/>
    <d v="2025-09-22T00:00:00"/>
    <s v="Neha Yadav"/>
    <s v="Office Supplies"/>
    <s v="Storage Boxes"/>
    <x v="6"/>
    <s v="West"/>
    <s v="Gujarat"/>
    <n v="2099"/>
    <n v="1"/>
    <n v="0"/>
    <n v="317.26"/>
    <s v="Debit Card"/>
    <x v="1"/>
    <x v="10"/>
  </r>
  <r>
    <s v="ORD10730"/>
    <d v="2024-07-21T00:00:00"/>
    <s v="Priya Singh"/>
    <s v="Furniture"/>
    <s v="Bookcases"/>
    <x v="27"/>
    <s v="North"/>
    <s v="Delhi"/>
    <n v="37251"/>
    <n v="3"/>
    <n v="0"/>
    <n v="6189.65"/>
    <s v="Net Banking"/>
    <x v="0"/>
    <x v="4"/>
  </r>
  <r>
    <s v="ORD10731"/>
    <d v="2024-11-02T00:00:00"/>
    <s v="Sneha Joshi"/>
    <s v="Office Supplies"/>
    <s v="Binders"/>
    <x v="4"/>
    <s v="West"/>
    <s v="Maharashtra"/>
    <n v="872.1"/>
    <n v="1"/>
    <n v="0.15"/>
    <n v="106.02"/>
    <s v="Cash"/>
    <x v="0"/>
    <x v="11"/>
  </r>
  <r>
    <s v="ORD10732"/>
    <d v="2025-12-27T00:00:00"/>
    <s v="Ananya Gupta"/>
    <s v="Technology"/>
    <s v="Printers"/>
    <x v="39"/>
    <s v="East"/>
    <s v="West Bengal"/>
    <n v="80274"/>
    <n v="8"/>
    <n v="0.15"/>
    <n v="3504.93"/>
    <s v="UPI"/>
    <x v="1"/>
    <x v="3"/>
  </r>
  <r>
    <s v="ORD10733"/>
    <d v="2025-05-05T00:00:00"/>
    <s v="Vikram Patel"/>
    <s v="Technology"/>
    <s v="Monitors"/>
    <x v="11"/>
    <s v="North"/>
    <s v="Punjab"/>
    <n v="332187.45"/>
    <n v="7"/>
    <n v="0.05"/>
    <n v="66683.63"/>
    <s v="UPI"/>
    <x v="1"/>
    <x v="7"/>
  </r>
  <r>
    <s v="ORD10734"/>
    <d v="2024-01-22T00:00:00"/>
    <s v="Rahul Verma"/>
    <s v="Furniture"/>
    <s v="Tables"/>
    <x v="31"/>
    <s v="West"/>
    <s v="Gujarat"/>
    <n v="94787"/>
    <n v="7"/>
    <n v="0"/>
    <n v="25738.06"/>
    <s v="Credit Card"/>
    <x v="0"/>
    <x v="6"/>
  </r>
  <r>
    <s v="ORD10735"/>
    <d v="2025-05-12T00:00:00"/>
    <s v="Priya Singh"/>
    <s v="Furniture"/>
    <s v="Cabinets"/>
    <x v="40"/>
    <s v="North"/>
    <s v="Punjab"/>
    <n v="5421.3"/>
    <n v="6"/>
    <n v="0.15"/>
    <n v="544.26"/>
    <s v="Cash"/>
    <x v="1"/>
    <x v="7"/>
  </r>
  <r>
    <s v="ORD10736"/>
    <d v="2025-03-15T00:00:00"/>
    <s v="Ananya Gupta"/>
    <s v="Technology"/>
    <s v="Printers"/>
    <x v="35"/>
    <s v="South"/>
    <s v="Tamil Nadu"/>
    <n v="244378"/>
    <n v="5"/>
    <n v="0.05"/>
    <n v="49062.82"/>
    <s v="Cash"/>
    <x v="1"/>
    <x v="8"/>
  </r>
  <r>
    <s v="ORD10737"/>
    <d v="2024-07-15T00:00:00"/>
    <s v="Rahul Verma"/>
    <s v="Office Supplies"/>
    <s v="Paper"/>
    <x v="42"/>
    <s v="South"/>
    <s v="Tamil Nadu"/>
    <n v="1634.55"/>
    <n v="3"/>
    <n v="0.15"/>
    <n v="82.01"/>
    <s v="Cash"/>
    <x v="0"/>
    <x v="4"/>
  </r>
  <r>
    <s v="ORD10738"/>
    <d v="2025-05-05T00:00:00"/>
    <s v="Aarav Sharma"/>
    <s v="Technology"/>
    <s v="Printers"/>
    <x v="35"/>
    <s v="South"/>
    <s v="Karnataka"/>
    <n v="185481.8"/>
    <n v="7"/>
    <n v="0.05"/>
    <n v="24991"/>
    <s v="Net Banking"/>
    <x v="1"/>
    <x v="7"/>
  </r>
  <r>
    <s v="ORD10739"/>
    <d v="2024-02-18T00:00:00"/>
    <s v="Rahul Verma"/>
    <s v="Furniture"/>
    <s v="Chairs"/>
    <x v="25"/>
    <s v="East"/>
    <s v="West Bengal"/>
    <n v="70121.399999999994"/>
    <n v="6"/>
    <n v="0.05"/>
    <n v="9218.73"/>
    <s v="UPI"/>
    <x v="0"/>
    <x v="0"/>
  </r>
  <r>
    <s v="ORD10740"/>
    <d v="2025-05-18T00:00:00"/>
    <s v="Sneha Joshi"/>
    <s v="Technology"/>
    <s v="Laptops"/>
    <x v="12"/>
    <s v="East"/>
    <s v="Odisha"/>
    <n v="148656"/>
    <n v="8"/>
    <n v="0.05"/>
    <n v="17534.36"/>
    <s v="Debit Card"/>
    <x v="1"/>
    <x v="7"/>
  </r>
  <r>
    <s v="ORD10741"/>
    <d v="2025-01-15T00:00:00"/>
    <s v="Ananya Gupta"/>
    <s v="Furniture"/>
    <s v="Chairs"/>
    <x v="23"/>
    <s v="North"/>
    <s v="Delhi"/>
    <n v="30276"/>
    <n v="3"/>
    <n v="0.2"/>
    <n v="4110.6499999999996"/>
    <s v="Debit Card"/>
    <x v="1"/>
    <x v="6"/>
  </r>
  <r>
    <s v="ORD10742"/>
    <d v="2025-11-01T00:00:00"/>
    <s v="Ananya Gupta"/>
    <s v="Technology"/>
    <s v="Printers"/>
    <x v="35"/>
    <s v="West"/>
    <s v="Maharashtra"/>
    <n v="101899.2"/>
    <n v="3"/>
    <n v="0.2"/>
    <n v="22791.39"/>
    <s v="Credit Card"/>
    <x v="1"/>
    <x v="11"/>
  </r>
  <r>
    <s v="ORD10743"/>
    <d v="2024-02-14T00:00:00"/>
    <s v="Rahul Verma"/>
    <s v="Office Supplies"/>
    <s v="Staplers"/>
    <x v="29"/>
    <s v="North"/>
    <s v="Delhi"/>
    <n v="4449.6000000000004"/>
    <n v="6"/>
    <n v="0.2"/>
    <n v="774.92"/>
    <s v="Credit Card"/>
    <x v="0"/>
    <x v="0"/>
  </r>
  <r>
    <s v="ORD10744"/>
    <d v="2025-06-20T00:00:00"/>
    <s v="Aditya Mehta"/>
    <s v="Furniture"/>
    <s v="Cabinets"/>
    <x v="38"/>
    <s v="East"/>
    <s v="Bihar"/>
    <n v="37176"/>
    <n v="8"/>
    <n v="0"/>
    <n v="6563.95"/>
    <s v="UPI"/>
    <x v="1"/>
    <x v="1"/>
  </r>
  <r>
    <s v="ORD10745"/>
    <d v="2025-06-29T00:00:00"/>
    <s v="Aditya Mehta"/>
    <s v="Technology"/>
    <s v="Printers"/>
    <x v="39"/>
    <s v="East"/>
    <s v="Odisha"/>
    <n v="54263.15"/>
    <n v="1"/>
    <n v="0.15"/>
    <n v="7678.52"/>
    <s v="UPI"/>
    <x v="1"/>
    <x v="1"/>
  </r>
  <r>
    <s v="ORD10746"/>
    <d v="2025-08-29T00:00:00"/>
    <s v="Aarav Sharma"/>
    <s v="Technology"/>
    <s v="Keyboards"/>
    <x v="15"/>
    <s v="West"/>
    <s v="Goa"/>
    <n v="70114.75"/>
    <n v="5"/>
    <n v="0.05"/>
    <n v="12752.44"/>
    <s v="Net Banking"/>
    <x v="1"/>
    <x v="9"/>
  </r>
  <r>
    <s v="ORD10747"/>
    <d v="2024-02-16T00:00:00"/>
    <s v="Aditya Mehta"/>
    <s v="Furniture"/>
    <s v="Cabinets"/>
    <x v="40"/>
    <s v="East"/>
    <s v="Bihar"/>
    <n v="47990"/>
    <n v="5"/>
    <n v="0"/>
    <n v="5481.51"/>
    <s v="Credit Card"/>
    <x v="0"/>
    <x v="0"/>
  </r>
  <r>
    <s v="ORD10748"/>
    <d v="2024-01-02T00:00:00"/>
    <s v="Sneha Joshi"/>
    <s v="Furniture"/>
    <s v="Chairs"/>
    <x v="5"/>
    <s v="South"/>
    <s v="Telangana"/>
    <n v="11818"/>
    <n v="5"/>
    <n v="0.05"/>
    <n v="2061.2800000000002"/>
    <s v="Net Banking"/>
    <x v="0"/>
    <x v="6"/>
  </r>
  <r>
    <s v="ORD10749"/>
    <d v="2024-01-11T00:00:00"/>
    <s v="Sneha Joshi"/>
    <s v="Furniture"/>
    <s v="Bookcases"/>
    <x v="32"/>
    <s v="North"/>
    <s v="Haryana"/>
    <n v="31389"/>
    <n v="3"/>
    <n v="0"/>
    <n v="6440.74"/>
    <s v="Credit Card"/>
    <x v="0"/>
    <x v="6"/>
  </r>
  <r>
    <s v="ORD10750"/>
    <d v="2025-03-28T00:00:00"/>
    <s v="Ananya Gupta"/>
    <s v="Office Supplies"/>
    <s v="Pens"/>
    <x v="30"/>
    <s v="South"/>
    <s v="Telangana"/>
    <n v="1846.4"/>
    <n v="2"/>
    <n v="0.2"/>
    <n v="258.82"/>
    <s v="Debit Card"/>
    <x v="1"/>
    <x v="8"/>
  </r>
  <r>
    <s v="ORD10751"/>
    <d v="2024-04-05T00:00:00"/>
    <s v="Neha Yadav"/>
    <s v="Furniture"/>
    <s v="Desks"/>
    <x v="17"/>
    <s v="West"/>
    <s v="Gujarat"/>
    <n v="57068.4"/>
    <n v="4"/>
    <n v="0.05"/>
    <n v="14149.18"/>
    <s v="Credit Card"/>
    <x v="0"/>
    <x v="5"/>
  </r>
  <r>
    <s v="ORD10752"/>
    <d v="2024-06-30T00:00:00"/>
    <s v="Rohan Khan"/>
    <s v="Furniture"/>
    <s v="Desks"/>
    <x v="36"/>
    <s v="South"/>
    <s v="Tamil Nadu"/>
    <n v="53688"/>
    <n v="8"/>
    <n v="0"/>
    <n v="7625.42"/>
    <s v="Net Banking"/>
    <x v="0"/>
    <x v="1"/>
  </r>
  <r>
    <s v="ORD10753"/>
    <d v="2024-01-13T00:00:00"/>
    <s v="Pooja Mishra"/>
    <s v="Technology"/>
    <s v="Laptops"/>
    <x v="12"/>
    <s v="South"/>
    <s v="Karnataka"/>
    <n v="99264"/>
    <n v="4"/>
    <n v="0.2"/>
    <n v="5703.54"/>
    <s v="UPI"/>
    <x v="0"/>
    <x v="6"/>
  </r>
  <r>
    <s v="ORD10754"/>
    <d v="2025-10-04T00:00:00"/>
    <s v="Pooja Mishra"/>
    <s v="Furniture"/>
    <s v="Tables"/>
    <x v="26"/>
    <s v="North"/>
    <s v="Delhi"/>
    <n v="8043.3"/>
    <n v="1"/>
    <n v="0.1"/>
    <n v="671.83"/>
    <s v="UPI"/>
    <x v="1"/>
    <x v="2"/>
  </r>
  <r>
    <s v="ORD10755"/>
    <d v="2024-06-07T00:00:00"/>
    <s v="Ananya Gupta"/>
    <s v="Technology"/>
    <s v="Laptops"/>
    <x v="44"/>
    <s v="East"/>
    <s v="West Bengal"/>
    <n v="88249.5"/>
    <n v="3"/>
    <n v="0.1"/>
    <n v="10709.19"/>
    <s v="UPI"/>
    <x v="0"/>
    <x v="1"/>
  </r>
  <r>
    <s v="ORD10756"/>
    <d v="2025-03-01T00:00:00"/>
    <s v="Rahul Verma"/>
    <s v="Office Supplies"/>
    <s v="Pens"/>
    <x v="30"/>
    <s v="North"/>
    <s v="Delhi"/>
    <n v="832"/>
    <n v="2"/>
    <n v="0.2"/>
    <n v="172.47"/>
    <s v="UPI"/>
    <x v="1"/>
    <x v="8"/>
  </r>
  <r>
    <s v="ORD10757"/>
    <d v="2024-04-25T00:00:00"/>
    <s v="Neha Yadav"/>
    <s v="Technology"/>
    <s v="Laptops"/>
    <x v="12"/>
    <s v="South"/>
    <s v="Kerala"/>
    <n v="62102.7"/>
    <n v="3"/>
    <n v="0.15"/>
    <n v="11169.37"/>
    <s v="Credit Card"/>
    <x v="0"/>
    <x v="5"/>
  </r>
  <r>
    <s v="ORD10758"/>
    <d v="2024-03-27T00:00:00"/>
    <s v="Aarav Sharma"/>
    <s v="Technology"/>
    <s v="Smartphones"/>
    <x v="13"/>
    <s v="North"/>
    <s v="Haryana"/>
    <n v="74790"/>
    <n v="2"/>
    <n v="0.1"/>
    <n v="17924.46"/>
    <s v="Net Banking"/>
    <x v="0"/>
    <x v="8"/>
  </r>
  <r>
    <s v="ORD10759"/>
    <d v="2024-10-20T00:00:00"/>
    <s v="Sneha Joshi"/>
    <s v="Technology"/>
    <s v="Smartphones"/>
    <x v="1"/>
    <s v="West"/>
    <s v="Rajasthan"/>
    <n v="123462.9"/>
    <n v="3"/>
    <n v="0.1"/>
    <n v="22217.35"/>
    <s v="UPI"/>
    <x v="0"/>
    <x v="2"/>
  </r>
  <r>
    <s v="ORD10760"/>
    <d v="2025-02-03T00:00:00"/>
    <s v="Neha Yadav"/>
    <s v="Furniture"/>
    <s v="Tables"/>
    <x v="24"/>
    <s v="East"/>
    <s v="Bihar"/>
    <n v="1654.9"/>
    <n v="2"/>
    <n v="0.05"/>
    <n v="217.7"/>
    <s v="Cash"/>
    <x v="1"/>
    <x v="0"/>
  </r>
  <r>
    <s v="ORD10761"/>
    <d v="2025-05-21T00:00:00"/>
    <s v="Rohan Khan"/>
    <s v="Technology"/>
    <s v="Laptops"/>
    <x v="44"/>
    <s v="West"/>
    <s v="Rajasthan"/>
    <n v="38030.699999999997"/>
    <n v="2"/>
    <n v="0.15"/>
    <n v="4298.3"/>
    <s v="Cash"/>
    <x v="1"/>
    <x v="7"/>
  </r>
  <r>
    <s v="ORD10762"/>
    <d v="2025-05-19T00:00:00"/>
    <s v="Aditya Mehta"/>
    <s v="Office Supplies"/>
    <s v="Staplers"/>
    <x v="29"/>
    <s v="East"/>
    <s v="Odisha"/>
    <n v="7990"/>
    <n v="4"/>
    <n v="0.15"/>
    <n v="1200.49"/>
    <s v="Net Banking"/>
    <x v="1"/>
    <x v="7"/>
  </r>
  <r>
    <s v="ORD10763"/>
    <d v="2024-01-18T00:00:00"/>
    <s v="Sneha Joshi"/>
    <s v="Technology"/>
    <s v="Keyboards"/>
    <x v="3"/>
    <s v="North"/>
    <s v="Uttar Pradesh"/>
    <n v="170197.2"/>
    <n v="4"/>
    <n v="0.1"/>
    <n v="9458.41"/>
    <s v="Net Banking"/>
    <x v="0"/>
    <x v="6"/>
  </r>
  <r>
    <s v="ORD10764"/>
    <d v="2025-07-18T00:00:00"/>
    <s v="Rohan Khan"/>
    <s v="Furniture"/>
    <s v="Desks"/>
    <x v="17"/>
    <s v="North"/>
    <s v="Delhi"/>
    <n v="27366.6"/>
    <n v="6"/>
    <n v="0.15"/>
    <n v="1952.01"/>
    <s v="Credit Card"/>
    <x v="1"/>
    <x v="4"/>
  </r>
  <r>
    <s v="ORD10765"/>
    <d v="2024-04-18T00:00:00"/>
    <s v="Pooja Mishra"/>
    <s v="Technology"/>
    <s v="Smartphones"/>
    <x v="10"/>
    <s v="North"/>
    <s v="Punjab"/>
    <n v="70029.899999999994"/>
    <n v="3"/>
    <n v="0.1"/>
    <n v="4609.13"/>
    <s v="UPI"/>
    <x v="0"/>
    <x v="5"/>
  </r>
  <r>
    <s v="ORD10766"/>
    <d v="2025-03-02T00:00:00"/>
    <s v="Rahul Verma"/>
    <s v="Furniture"/>
    <s v="Cabinets"/>
    <x v="40"/>
    <s v="South"/>
    <s v="Karnataka"/>
    <n v="20328"/>
    <n v="6"/>
    <n v="0"/>
    <n v="1676.97"/>
    <s v="Credit Card"/>
    <x v="1"/>
    <x v="8"/>
  </r>
  <r>
    <s v="ORD10767"/>
    <d v="2025-10-19T00:00:00"/>
    <s v="Aarav Sharma"/>
    <s v="Furniture"/>
    <s v="Desks"/>
    <x v="17"/>
    <s v="East"/>
    <s v="Jharkhand"/>
    <n v="7392"/>
    <n v="6"/>
    <n v="0"/>
    <n v="821.82"/>
    <s v="Net Banking"/>
    <x v="1"/>
    <x v="2"/>
  </r>
  <r>
    <s v="ORD10768"/>
    <d v="2025-05-28T00:00:00"/>
    <s v="Vikram Patel"/>
    <s v="Technology"/>
    <s v="Printers"/>
    <x v="39"/>
    <s v="South"/>
    <s v="Karnataka"/>
    <n v="288275.40000000002"/>
    <n v="7"/>
    <n v="0.1"/>
    <n v="68848.83"/>
    <s v="Credit Card"/>
    <x v="1"/>
    <x v="7"/>
  </r>
  <r>
    <s v="ORD10769"/>
    <d v="2024-08-12T00:00:00"/>
    <s v="Rohan Khan"/>
    <s v="Furniture"/>
    <s v="Desks"/>
    <x v="36"/>
    <s v="East"/>
    <s v="West Bengal"/>
    <n v="29155"/>
    <n v="7"/>
    <n v="0.15"/>
    <n v="4848.7299999999996"/>
    <s v="Credit Card"/>
    <x v="0"/>
    <x v="9"/>
  </r>
  <r>
    <s v="ORD10770"/>
    <d v="2025-01-15T00:00:00"/>
    <s v="Rohan Khan"/>
    <s v="Office Supplies"/>
    <s v="Storage Boxes"/>
    <x v="6"/>
    <s v="North"/>
    <s v="Uttar Pradesh"/>
    <n v="9450.6"/>
    <n v="6"/>
    <n v="0.05"/>
    <n v="741.25"/>
    <s v="Credit Card"/>
    <x v="1"/>
    <x v="6"/>
  </r>
  <r>
    <s v="ORD10771"/>
    <d v="2024-03-07T00:00:00"/>
    <s v="Ananya Gupta"/>
    <s v="Furniture"/>
    <s v="Chairs"/>
    <x v="25"/>
    <s v="North"/>
    <s v="Delhi"/>
    <n v="49293.599999999999"/>
    <n v="6"/>
    <n v="0.05"/>
    <n v="8666.48"/>
    <s v="Net Banking"/>
    <x v="0"/>
    <x v="8"/>
  </r>
  <r>
    <s v="ORD10772"/>
    <d v="2025-07-31T00:00:00"/>
    <s v="Neha Yadav"/>
    <s v="Technology"/>
    <s v="Monitors"/>
    <x v="16"/>
    <s v="South"/>
    <s v="Tamil Nadu"/>
    <n v="13560"/>
    <n v="1"/>
    <n v="0.2"/>
    <n v="1938.53"/>
    <s v="UPI"/>
    <x v="1"/>
    <x v="4"/>
  </r>
  <r>
    <s v="ORD10773"/>
    <d v="2025-02-04T00:00:00"/>
    <s v="Sneha Joshi"/>
    <s v="Technology"/>
    <s v="Monitors"/>
    <x v="20"/>
    <s v="North"/>
    <s v="Haryana"/>
    <n v="242217.60000000001"/>
    <n v="6"/>
    <n v="0.2"/>
    <n v="16707.38"/>
    <s v="Credit Card"/>
    <x v="1"/>
    <x v="0"/>
  </r>
  <r>
    <s v="ORD10774"/>
    <d v="2025-05-03T00:00:00"/>
    <s v="Pooja Mishra"/>
    <s v="Office Supplies"/>
    <s v="Paper"/>
    <x v="42"/>
    <s v="East"/>
    <s v="Jharkhand"/>
    <n v="315.2"/>
    <n v="2"/>
    <n v="0.2"/>
    <n v="59.64"/>
    <s v="UPI"/>
    <x v="1"/>
    <x v="7"/>
  </r>
  <r>
    <s v="ORD10775"/>
    <d v="2024-06-13T00:00:00"/>
    <s v="Aditya Mehta"/>
    <s v="Furniture"/>
    <s v="Desks"/>
    <x v="2"/>
    <s v="South"/>
    <s v="Kerala"/>
    <n v="15937.2"/>
    <n v="2"/>
    <n v="0.05"/>
    <n v="3526.35"/>
    <s v="Net Banking"/>
    <x v="0"/>
    <x v="1"/>
  </r>
  <r>
    <s v="ORD10776"/>
    <d v="2025-11-30T00:00:00"/>
    <s v="Rohan Khan"/>
    <s v="Office Supplies"/>
    <s v="Storage Boxes"/>
    <x v="14"/>
    <s v="East"/>
    <s v="Jharkhand"/>
    <n v="11184"/>
    <n v="6"/>
    <n v="0"/>
    <n v="2886.99"/>
    <s v="Credit Card"/>
    <x v="1"/>
    <x v="11"/>
  </r>
  <r>
    <s v="ORD10777"/>
    <d v="2024-03-30T00:00:00"/>
    <s v="Neha Yadav"/>
    <s v="Technology"/>
    <s v="Printers"/>
    <x v="33"/>
    <s v="North"/>
    <s v="Punjab"/>
    <n v="54597.599999999999"/>
    <n v="8"/>
    <n v="0.1"/>
    <n v="8977.33"/>
    <s v="UPI"/>
    <x v="0"/>
    <x v="8"/>
  </r>
  <r>
    <s v="ORD10778"/>
    <d v="2025-12-28T00:00:00"/>
    <s v="Neha Yadav"/>
    <s v="Furniture"/>
    <s v="Bookcases"/>
    <x v="19"/>
    <s v="South"/>
    <s v="Telangana"/>
    <n v="25410"/>
    <n v="2"/>
    <n v="0"/>
    <n v="2394.3000000000002"/>
    <s v="Debit Card"/>
    <x v="1"/>
    <x v="3"/>
  </r>
  <r>
    <s v="ORD10779"/>
    <d v="2025-09-26T00:00:00"/>
    <s v="Rahul Verma"/>
    <s v="Furniture"/>
    <s v="Bookcases"/>
    <x v="19"/>
    <s v="West"/>
    <s v="Gujarat"/>
    <n v="86428"/>
    <n v="8"/>
    <n v="0.15"/>
    <n v="10743.57"/>
    <s v="Cash"/>
    <x v="1"/>
    <x v="10"/>
  </r>
  <r>
    <s v="ORD10780"/>
    <d v="2025-10-21T00:00:00"/>
    <s v="Aarav Sharma"/>
    <s v="Furniture"/>
    <s v="Cabinets"/>
    <x v="40"/>
    <s v="East"/>
    <s v="Bihar"/>
    <n v="108836"/>
    <n v="7"/>
    <n v="0"/>
    <n v="22215.9"/>
    <s v="Credit Card"/>
    <x v="1"/>
    <x v="2"/>
  </r>
  <r>
    <s v="ORD10781"/>
    <d v="2024-08-16T00:00:00"/>
    <s v="Rohan Khan"/>
    <s v="Office Supplies"/>
    <s v="Storage Boxes"/>
    <x v="14"/>
    <s v="North"/>
    <s v="Punjab"/>
    <n v="10348.75"/>
    <n v="5"/>
    <n v="0.15"/>
    <n v="2207.0300000000002"/>
    <s v="Cash"/>
    <x v="0"/>
    <x v="9"/>
  </r>
  <r>
    <s v="ORD10782"/>
    <d v="2025-02-10T00:00:00"/>
    <s v="Rohan Khan"/>
    <s v="Office Supplies"/>
    <s v="Paper"/>
    <x v="37"/>
    <s v="East"/>
    <s v="Jharkhand"/>
    <n v="6704"/>
    <n v="8"/>
    <n v="0"/>
    <n v="1766.45"/>
    <s v="Credit Card"/>
    <x v="1"/>
    <x v="0"/>
  </r>
  <r>
    <s v="ORD10783"/>
    <d v="2025-07-12T00:00:00"/>
    <s v="Rahul Verma"/>
    <s v="Furniture"/>
    <s v="Bookcases"/>
    <x v="27"/>
    <s v="North"/>
    <s v="Haryana"/>
    <n v="118108.8"/>
    <n v="8"/>
    <n v="0.1"/>
    <n v="17233.93"/>
    <s v="Cash"/>
    <x v="1"/>
    <x v="4"/>
  </r>
  <r>
    <s v="ORD10784"/>
    <d v="2024-08-04T00:00:00"/>
    <s v="Aarav Sharma"/>
    <s v="Technology"/>
    <s v="Smartphones"/>
    <x v="1"/>
    <s v="East"/>
    <s v="West Bengal"/>
    <n v="31469.55"/>
    <n v="7"/>
    <n v="0.15"/>
    <n v="2680.71"/>
    <s v="Cash"/>
    <x v="0"/>
    <x v="9"/>
  </r>
  <r>
    <s v="ORD10785"/>
    <d v="2025-04-07T00:00:00"/>
    <s v="Rohan Khan"/>
    <s v="Furniture"/>
    <s v="Bookcases"/>
    <x v="19"/>
    <s v="South"/>
    <s v="Karnataka"/>
    <n v="25331.4"/>
    <n v="2"/>
    <n v="0.1"/>
    <n v="5820.02"/>
    <s v="Net Banking"/>
    <x v="1"/>
    <x v="5"/>
  </r>
  <r>
    <s v="ORD10786"/>
    <d v="2025-03-05T00:00:00"/>
    <s v="Neha Yadav"/>
    <s v="Technology"/>
    <s v="Monitors"/>
    <x v="20"/>
    <s v="South"/>
    <s v="Karnataka"/>
    <n v="157033.1"/>
    <n v="7"/>
    <n v="0.05"/>
    <n v="21569.32"/>
    <s v="Cash"/>
    <x v="1"/>
    <x v="8"/>
  </r>
  <r>
    <s v="ORD10787"/>
    <d v="2025-11-14T00:00:00"/>
    <s v="Pooja Mishra"/>
    <s v="Office Supplies"/>
    <s v="Binders"/>
    <x v="22"/>
    <s v="West"/>
    <s v="Rajasthan"/>
    <n v="13423.2"/>
    <n v="7"/>
    <n v="0.2"/>
    <n v="935.76"/>
    <s v="Net Banking"/>
    <x v="1"/>
    <x v="11"/>
  </r>
  <r>
    <s v="ORD10788"/>
    <d v="2025-11-21T00:00:00"/>
    <s v="Rohan Khan"/>
    <s v="Technology"/>
    <s v="Monitors"/>
    <x v="20"/>
    <s v="East"/>
    <s v="West Bengal"/>
    <n v="449265.6"/>
    <n v="8"/>
    <n v="0.1"/>
    <n v="34917.54"/>
    <s v="Debit Card"/>
    <x v="1"/>
    <x v="11"/>
  </r>
  <r>
    <s v="ORD10789"/>
    <d v="2024-07-11T00:00:00"/>
    <s v="Rohan Khan"/>
    <s v="Office Supplies"/>
    <s v="Paper"/>
    <x v="42"/>
    <s v="West"/>
    <s v="Gujarat"/>
    <n v="1892.4"/>
    <n v="8"/>
    <n v="0.05"/>
    <n v="409.97"/>
    <s v="Net Banking"/>
    <x v="0"/>
    <x v="4"/>
  </r>
  <r>
    <s v="ORD10790"/>
    <d v="2025-01-07T00:00:00"/>
    <s v="Aarav Sharma"/>
    <s v="Technology"/>
    <s v="Printers"/>
    <x v="39"/>
    <s v="West"/>
    <s v="Gujarat"/>
    <n v="254456"/>
    <n v="4"/>
    <n v="0"/>
    <n v="39199.269999999997"/>
    <s v="Debit Card"/>
    <x v="1"/>
    <x v="6"/>
  </r>
  <r>
    <s v="ORD10791"/>
    <d v="2025-03-12T00:00:00"/>
    <s v="Aditya Mehta"/>
    <s v="Furniture"/>
    <s v="Cabinets"/>
    <x v="9"/>
    <s v="North"/>
    <s v="Uttar Pradesh"/>
    <n v="102578.4"/>
    <n v="8"/>
    <n v="0.1"/>
    <n v="22632.61"/>
    <s v="Debit Card"/>
    <x v="1"/>
    <x v="8"/>
  </r>
  <r>
    <s v="ORD10792"/>
    <d v="2025-11-06T00:00:00"/>
    <s v="Rohan Khan"/>
    <s v="Technology"/>
    <s v="Smartphones"/>
    <x v="13"/>
    <s v="West"/>
    <s v="Goa"/>
    <n v="95433.75"/>
    <n v="3"/>
    <n v="0.15"/>
    <n v="11338.74"/>
    <s v="Debit Card"/>
    <x v="1"/>
    <x v="11"/>
  </r>
  <r>
    <s v="ORD10793"/>
    <d v="2025-09-30T00:00:00"/>
    <s v="Aditya Mehta"/>
    <s v="Office Supplies"/>
    <s v="Storage Boxes"/>
    <x v="14"/>
    <s v="North"/>
    <s v="Delhi"/>
    <n v="3568"/>
    <n v="2"/>
    <n v="0"/>
    <n v="639.66999999999996"/>
    <s v="UPI"/>
    <x v="1"/>
    <x v="10"/>
  </r>
  <r>
    <s v="ORD10794"/>
    <d v="2025-04-25T00:00:00"/>
    <s v="Priya Singh"/>
    <s v="Office Supplies"/>
    <s v="Staplers"/>
    <x v="7"/>
    <s v="North"/>
    <s v="Haryana"/>
    <n v="8020.6"/>
    <n v="4"/>
    <n v="0.15"/>
    <n v="524.54999999999995"/>
    <s v="Debit Card"/>
    <x v="1"/>
    <x v="5"/>
  </r>
  <r>
    <s v="ORD10795"/>
    <d v="2025-02-28T00:00:00"/>
    <s v="Ananya Gupta"/>
    <s v="Furniture"/>
    <s v="Tables"/>
    <x v="31"/>
    <s v="West"/>
    <s v="Maharashtra"/>
    <n v="36334.800000000003"/>
    <n v="4"/>
    <n v="0.1"/>
    <n v="4232.25"/>
    <s v="UPI"/>
    <x v="1"/>
    <x v="0"/>
  </r>
  <r>
    <s v="ORD10796"/>
    <d v="2025-08-08T00:00:00"/>
    <s v="Rohan Khan"/>
    <s v="Furniture"/>
    <s v="Chairs"/>
    <x v="5"/>
    <s v="North"/>
    <s v="Delhi"/>
    <n v="96147"/>
    <n v="6"/>
    <n v="0.1"/>
    <n v="8564.98"/>
    <s v="Credit Card"/>
    <x v="1"/>
    <x v="9"/>
  </r>
  <r>
    <s v="ORD10797"/>
    <d v="2025-06-13T00:00:00"/>
    <s v="Rahul Verma"/>
    <s v="Office Supplies"/>
    <s v="Staplers"/>
    <x v="21"/>
    <s v="South"/>
    <s v="Kerala"/>
    <n v="4825.45"/>
    <n v="7"/>
    <n v="0.15"/>
    <n v="1077.69"/>
    <s v="Cash"/>
    <x v="1"/>
    <x v="1"/>
  </r>
  <r>
    <s v="ORD10798"/>
    <d v="2024-07-27T00:00:00"/>
    <s v="Priya Singh"/>
    <s v="Technology"/>
    <s v="Laptops"/>
    <x v="43"/>
    <s v="South"/>
    <s v="Karnataka"/>
    <n v="375379.20000000001"/>
    <n v="7"/>
    <n v="0.05"/>
    <n v="96562.57"/>
    <s v="UPI"/>
    <x v="0"/>
    <x v="4"/>
  </r>
  <r>
    <s v="ORD10799"/>
    <d v="2025-10-11T00:00:00"/>
    <s v="Sneha Joshi"/>
    <s v="Technology"/>
    <s v="Keyboards"/>
    <x v="28"/>
    <s v="North"/>
    <s v="Punjab"/>
    <n v="73478.7"/>
    <n v="2"/>
    <n v="0.05"/>
    <n v="19411.810000000001"/>
    <s v="Credit Card"/>
    <x v="1"/>
    <x v="2"/>
  </r>
  <r>
    <s v="ORD10800"/>
    <d v="2024-05-27T00:00:00"/>
    <s v="Aarav Sharma"/>
    <s v="Technology"/>
    <s v="Smartphones"/>
    <x v="1"/>
    <s v="East"/>
    <s v="Odisha"/>
    <n v="195196"/>
    <n v="4"/>
    <n v="0"/>
    <n v="26350.09"/>
    <s v="Net Banking"/>
    <x v="0"/>
    <x v="7"/>
  </r>
  <r>
    <s v="ORD10801"/>
    <d v="2025-01-05T00:00:00"/>
    <s v="Ananya Gupta"/>
    <s v="Technology"/>
    <s v="Laptops"/>
    <x v="44"/>
    <s v="West"/>
    <s v="Maharashtra"/>
    <n v="59133"/>
    <n v="3"/>
    <n v="0"/>
    <n v="5645.8"/>
    <s v="Cash"/>
    <x v="1"/>
    <x v="6"/>
  </r>
  <r>
    <s v="ORD10802"/>
    <d v="2024-11-17T00:00:00"/>
    <s v="Neha Yadav"/>
    <s v="Technology"/>
    <s v="Keyboards"/>
    <x v="28"/>
    <s v="North"/>
    <s v="Uttar Pradesh"/>
    <n v="435628.4"/>
    <n v="8"/>
    <n v="0.15"/>
    <n v="51208.5"/>
    <s v="Credit Card"/>
    <x v="0"/>
    <x v="11"/>
  </r>
  <r>
    <s v="ORD10803"/>
    <d v="2025-09-06T00:00:00"/>
    <s v="Aditya Mehta"/>
    <s v="Technology"/>
    <s v="Monitors"/>
    <x v="16"/>
    <s v="North"/>
    <s v="Punjab"/>
    <n v="7548.85"/>
    <n v="1"/>
    <n v="0.15"/>
    <n v="1822.92"/>
    <s v="UPI"/>
    <x v="1"/>
    <x v="10"/>
  </r>
  <r>
    <s v="ORD10804"/>
    <d v="2024-08-09T00:00:00"/>
    <s v="Sneha Joshi"/>
    <s v="Technology"/>
    <s v="Printers"/>
    <x v="35"/>
    <s v="East"/>
    <s v="West Bengal"/>
    <n v="29059.200000000001"/>
    <n v="1"/>
    <n v="0.2"/>
    <n v="5294.36"/>
    <s v="UPI"/>
    <x v="0"/>
    <x v="9"/>
  </r>
  <r>
    <s v="ORD10805"/>
    <d v="2024-04-04T00:00:00"/>
    <s v="Sneha Joshi"/>
    <s v="Technology"/>
    <s v="Laptops"/>
    <x v="44"/>
    <s v="East"/>
    <s v="Odisha"/>
    <n v="88007.4"/>
    <n v="2"/>
    <n v="0.1"/>
    <n v="13316.84"/>
    <s v="Net Banking"/>
    <x v="0"/>
    <x v="5"/>
  </r>
  <r>
    <s v="ORD10806"/>
    <d v="2024-10-14T00:00:00"/>
    <s v="Rohan Khan"/>
    <s v="Office Supplies"/>
    <s v="Pens"/>
    <x v="8"/>
    <s v="West"/>
    <s v="Goa"/>
    <n v="7474.6"/>
    <n v="7"/>
    <n v="0.05"/>
    <n v="800.34"/>
    <s v="UPI"/>
    <x v="0"/>
    <x v="2"/>
  </r>
  <r>
    <s v="ORD10807"/>
    <d v="2024-11-22T00:00:00"/>
    <s v="Pooja Mishra"/>
    <s v="Office Supplies"/>
    <s v="Storage Boxes"/>
    <x v="14"/>
    <s v="East"/>
    <s v="Odisha"/>
    <n v="11744"/>
    <n v="8"/>
    <n v="0.2"/>
    <n v="2107.06"/>
    <s v="UPI"/>
    <x v="0"/>
    <x v="11"/>
  </r>
  <r>
    <s v="ORD10808"/>
    <d v="2025-06-07T00:00:00"/>
    <s v="Vikram Patel"/>
    <s v="Office Supplies"/>
    <s v="Staplers"/>
    <x v="29"/>
    <s v="West"/>
    <s v="Gujarat"/>
    <n v="11058"/>
    <n v="6"/>
    <n v="0.05"/>
    <n v="2713.52"/>
    <s v="Net Banking"/>
    <x v="1"/>
    <x v="1"/>
  </r>
  <r>
    <s v="ORD10809"/>
    <d v="2024-03-15T00:00:00"/>
    <s v="Ananya Gupta"/>
    <s v="Furniture"/>
    <s v="Bookcases"/>
    <x v="19"/>
    <s v="East"/>
    <s v="Jharkhand"/>
    <n v="21608.7"/>
    <n v="2"/>
    <n v="0.05"/>
    <n v="3004.67"/>
    <s v="Debit Card"/>
    <x v="0"/>
    <x v="8"/>
  </r>
  <r>
    <s v="ORD10810"/>
    <d v="2024-11-25T00:00:00"/>
    <s v="Ananya Gupta"/>
    <s v="Furniture"/>
    <s v="Desks"/>
    <x v="2"/>
    <s v="East"/>
    <s v="West Bengal"/>
    <n v="6594.9"/>
    <n v="6"/>
    <n v="0.05"/>
    <n v="1058.98"/>
    <s v="Net Banking"/>
    <x v="0"/>
    <x v="11"/>
  </r>
  <r>
    <s v="ORD10811"/>
    <d v="2025-03-07T00:00:00"/>
    <s v="Rohan Khan"/>
    <s v="Technology"/>
    <s v="Keyboards"/>
    <x v="3"/>
    <s v="East"/>
    <s v="Odisha"/>
    <n v="25420.799999999999"/>
    <n v="4"/>
    <n v="0.2"/>
    <n v="5301.07"/>
    <s v="Debit Card"/>
    <x v="1"/>
    <x v="8"/>
  </r>
  <r>
    <s v="ORD10812"/>
    <d v="2024-06-24T00:00:00"/>
    <s v="Pooja Mishra"/>
    <s v="Furniture"/>
    <s v="Desks"/>
    <x v="17"/>
    <s v="South"/>
    <s v="Karnataka"/>
    <n v="78336"/>
    <n v="8"/>
    <n v="0"/>
    <n v="8211.06"/>
    <s v="Debit Card"/>
    <x v="0"/>
    <x v="1"/>
  </r>
  <r>
    <s v="ORD10813"/>
    <d v="2025-02-16T00:00:00"/>
    <s v="Aarav Sharma"/>
    <s v="Office Supplies"/>
    <s v="Staplers"/>
    <x v="7"/>
    <s v="South"/>
    <s v="Karnataka"/>
    <n v="1791.9"/>
    <n v="1"/>
    <n v="0.1"/>
    <n v="145.52000000000001"/>
    <s v="Net Banking"/>
    <x v="1"/>
    <x v="0"/>
  </r>
  <r>
    <s v="ORD10814"/>
    <d v="2024-12-20T00:00:00"/>
    <s v="Rohan Khan"/>
    <s v="Office Supplies"/>
    <s v="Paper"/>
    <x v="0"/>
    <s v="East"/>
    <s v="West Bengal"/>
    <n v="9590.4"/>
    <n v="8"/>
    <n v="0.1"/>
    <n v="1135.8699999999999"/>
    <s v="UPI"/>
    <x v="0"/>
    <x v="3"/>
  </r>
  <r>
    <s v="ORD10815"/>
    <d v="2025-09-24T00:00:00"/>
    <s v="Priya Singh"/>
    <s v="Office Supplies"/>
    <s v="Pens"/>
    <x v="8"/>
    <s v="West"/>
    <s v="Maharashtra"/>
    <n v="10600"/>
    <n v="5"/>
    <n v="0"/>
    <n v="2635.32"/>
    <s v="UPI"/>
    <x v="1"/>
    <x v="10"/>
  </r>
  <r>
    <s v="ORD10816"/>
    <d v="2025-01-12T00:00:00"/>
    <s v="Aditya Mehta"/>
    <s v="Technology"/>
    <s v="Laptops"/>
    <x v="44"/>
    <s v="North"/>
    <s v="Punjab"/>
    <n v="328610.7"/>
    <n v="6"/>
    <n v="0.05"/>
    <n v="27965.87"/>
    <s v="UPI"/>
    <x v="1"/>
    <x v="6"/>
  </r>
  <r>
    <s v="ORD10817"/>
    <d v="2025-09-19T00:00:00"/>
    <s v="Rohan Khan"/>
    <s v="Office Supplies"/>
    <s v="Paper"/>
    <x v="0"/>
    <s v="East"/>
    <s v="West Bengal"/>
    <n v="366.3"/>
    <n v="1"/>
    <n v="0.1"/>
    <n v="44.27"/>
    <s v="Debit Card"/>
    <x v="1"/>
    <x v="10"/>
  </r>
  <r>
    <s v="ORD10818"/>
    <d v="2025-11-15T00:00:00"/>
    <s v="Priya Singh"/>
    <s v="Office Supplies"/>
    <s v="Binders"/>
    <x v="34"/>
    <s v="South"/>
    <s v="Kerala"/>
    <n v="6354.6"/>
    <n v="3"/>
    <n v="0.15"/>
    <n v="1079.52"/>
    <s v="Net Banking"/>
    <x v="1"/>
    <x v="11"/>
  </r>
  <r>
    <s v="ORD10819"/>
    <d v="2024-10-30T00:00:00"/>
    <s v="Priya Singh"/>
    <s v="Office Supplies"/>
    <s v="Binders"/>
    <x v="4"/>
    <s v="West"/>
    <s v="Goa"/>
    <n v="6150"/>
    <n v="6"/>
    <n v="0"/>
    <n v="816.49"/>
    <s v="Debit Card"/>
    <x v="0"/>
    <x v="2"/>
  </r>
  <r>
    <s v="ORD10820"/>
    <d v="2025-01-29T00:00:00"/>
    <s v="Ananya Gupta"/>
    <s v="Office Supplies"/>
    <s v="Binders"/>
    <x v="34"/>
    <s v="South"/>
    <s v="Karnataka"/>
    <n v="1162.8"/>
    <n v="8"/>
    <n v="0.05"/>
    <n v="187.36"/>
    <s v="Cash"/>
    <x v="1"/>
    <x v="6"/>
  </r>
  <r>
    <s v="ORD10821"/>
    <d v="2024-08-12T00:00:00"/>
    <s v="Sneha Joshi"/>
    <s v="Technology"/>
    <s v="Monitors"/>
    <x v="11"/>
    <s v="South"/>
    <s v="Telangana"/>
    <n v="353160"/>
    <n v="8"/>
    <n v="0"/>
    <n v="92819.3"/>
    <s v="Cash"/>
    <x v="0"/>
    <x v="9"/>
  </r>
  <r>
    <s v="ORD10822"/>
    <d v="2025-08-14T00:00:00"/>
    <s v="Priya Singh"/>
    <s v="Furniture"/>
    <s v="Cabinets"/>
    <x v="40"/>
    <s v="South"/>
    <s v="Kerala"/>
    <n v="26393.4"/>
    <n v="2"/>
    <n v="0.1"/>
    <n v="6474.27"/>
    <s v="Credit Card"/>
    <x v="1"/>
    <x v="9"/>
  </r>
  <r>
    <s v="ORD10823"/>
    <d v="2025-04-08T00:00:00"/>
    <s v="Sneha Joshi"/>
    <s v="Furniture"/>
    <s v="Chairs"/>
    <x v="5"/>
    <s v="North"/>
    <s v="Punjab"/>
    <n v="64878.8"/>
    <n v="8"/>
    <n v="0.15"/>
    <n v="11345.82"/>
    <s v="Debit Card"/>
    <x v="1"/>
    <x v="5"/>
  </r>
  <r>
    <s v="ORD10824"/>
    <d v="2024-02-24T00:00:00"/>
    <s v="Neha Yadav"/>
    <s v="Technology"/>
    <s v="Printers"/>
    <x v="39"/>
    <s v="North"/>
    <s v="Haryana"/>
    <n v="37641.4"/>
    <n v="4"/>
    <n v="0.15"/>
    <n v="5423.57"/>
    <s v="Debit Card"/>
    <x v="0"/>
    <x v="0"/>
  </r>
  <r>
    <s v="ORD10825"/>
    <d v="2024-10-09T00:00:00"/>
    <s v="Aditya Mehta"/>
    <s v="Furniture"/>
    <s v="Chairs"/>
    <x v="23"/>
    <s v="North"/>
    <s v="Uttar Pradesh"/>
    <n v="62076.35"/>
    <n v="7"/>
    <n v="0.15"/>
    <n v="4831.34"/>
    <s v="Net Banking"/>
    <x v="0"/>
    <x v="2"/>
  </r>
  <r>
    <s v="ORD10826"/>
    <d v="2024-02-06T00:00:00"/>
    <s v="Pooja Mishra"/>
    <s v="Furniture"/>
    <s v="Cabinets"/>
    <x v="9"/>
    <s v="West"/>
    <s v="Maharashtra"/>
    <n v="8509.15"/>
    <n v="1"/>
    <n v="0.05"/>
    <n v="770.4"/>
    <s v="Debit Card"/>
    <x v="0"/>
    <x v="0"/>
  </r>
  <r>
    <s v="ORD10827"/>
    <d v="2025-12-09T00:00:00"/>
    <s v="Vikram Patel"/>
    <s v="Technology"/>
    <s v="Laptops"/>
    <x v="44"/>
    <s v="North"/>
    <s v="Haryana"/>
    <n v="178778.6"/>
    <n v="7"/>
    <n v="0.05"/>
    <n v="38309.550000000003"/>
    <s v="Cash"/>
    <x v="1"/>
    <x v="3"/>
  </r>
  <r>
    <s v="ORD10828"/>
    <d v="2025-12-18T00:00:00"/>
    <s v="Pooja Mishra"/>
    <s v="Technology"/>
    <s v="Smartphones"/>
    <x v="1"/>
    <s v="South"/>
    <s v="Telangana"/>
    <n v="237290"/>
    <n v="5"/>
    <n v="0"/>
    <n v="27766.67"/>
    <s v="Cash"/>
    <x v="1"/>
    <x v="3"/>
  </r>
  <r>
    <s v="ORD10829"/>
    <d v="2024-01-14T00:00:00"/>
    <s v="Neha Yadav"/>
    <s v="Office Supplies"/>
    <s v="Pens"/>
    <x v="8"/>
    <s v="South"/>
    <s v="Tamil Nadu"/>
    <n v="2482"/>
    <n v="2"/>
    <n v="0.15"/>
    <n v="175.89"/>
    <s v="Cash"/>
    <x v="0"/>
    <x v="6"/>
  </r>
  <r>
    <s v="ORD10830"/>
    <d v="2025-05-15T00:00:00"/>
    <s v="Ananya Gupta"/>
    <s v="Furniture"/>
    <s v="Chairs"/>
    <x v="5"/>
    <s v="South"/>
    <s v="Telangana"/>
    <n v="2850.9"/>
    <n v="3"/>
    <n v="0.15"/>
    <n v="453.67"/>
    <s v="Cash"/>
    <x v="1"/>
    <x v="7"/>
  </r>
  <r>
    <s v="ORD10831"/>
    <d v="2024-12-09T00:00:00"/>
    <s v="Neha Yadav"/>
    <s v="Technology"/>
    <s v="Laptops"/>
    <x v="44"/>
    <s v="North"/>
    <s v="Haryana"/>
    <n v="152037"/>
    <n v="3"/>
    <n v="0"/>
    <n v="21425.119999999999"/>
    <s v="Cash"/>
    <x v="0"/>
    <x v="3"/>
  </r>
  <r>
    <s v="ORD10832"/>
    <d v="2025-06-14T00:00:00"/>
    <s v="Pooja Mishra"/>
    <s v="Office Supplies"/>
    <s v="Pens"/>
    <x v="8"/>
    <s v="East"/>
    <s v="Jharkhand"/>
    <n v="8337.6"/>
    <n v="6"/>
    <n v="0.1"/>
    <n v="1642.77"/>
    <s v="Cash"/>
    <x v="1"/>
    <x v="1"/>
  </r>
  <r>
    <s v="ORD10833"/>
    <d v="2025-08-14T00:00:00"/>
    <s v="Rohan Khan"/>
    <s v="Technology"/>
    <s v="Monitors"/>
    <x v="11"/>
    <s v="North"/>
    <s v="Punjab"/>
    <n v="151000.79999999999"/>
    <n v="4"/>
    <n v="0.15"/>
    <n v="7350.86"/>
    <s v="Debit Card"/>
    <x v="1"/>
    <x v="9"/>
  </r>
  <r>
    <s v="ORD10834"/>
    <d v="2025-06-23T00:00:00"/>
    <s v="Rahul Verma"/>
    <s v="Technology"/>
    <s v="Laptops"/>
    <x v="43"/>
    <s v="South"/>
    <s v="Kerala"/>
    <n v="109600.7"/>
    <n v="2"/>
    <n v="0.15"/>
    <n v="26300.48"/>
    <s v="Debit Card"/>
    <x v="1"/>
    <x v="1"/>
  </r>
  <r>
    <s v="ORD10835"/>
    <d v="2025-06-16T00:00:00"/>
    <s v="Sneha Joshi"/>
    <s v="Office Supplies"/>
    <s v="Pens"/>
    <x v="41"/>
    <s v="East"/>
    <s v="Jharkhand"/>
    <n v="9083.9"/>
    <n v="7"/>
    <n v="0.05"/>
    <n v="687.83"/>
    <s v="Net Banking"/>
    <x v="1"/>
    <x v="1"/>
  </r>
  <r>
    <s v="ORD10836"/>
    <d v="2024-06-02T00:00:00"/>
    <s v="Aditya Mehta"/>
    <s v="Technology"/>
    <s v="Keyboards"/>
    <x v="15"/>
    <s v="West"/>
    <s v="Rajasthan"/>
    <n v="122996.5"/>
    <n v="2"/>
    <n v="0.05"/>
    <n v="19773.349999999999"/>
    <s v="Debit Card"/>
    <x v="0"/>
    <x v="1"/>
  </r>
  <r>
    <s v="ORD10837"/>
    <d v="2024-10-16T00:00:00"/>
    <s v="Pooja Mishra"/>
    <s v="Office Supplies"/>
    <s v="Storage Boxes"/>
    <x v="6"/>
    <s v="South"/>
    <s v="Telangana"/>
    <n v="692.75"/>
    <n v="5"/>
    <n v="0.15"/>
    <n v="35.119999999999997"/>
    <s v="UPI"/>
    <x v="0"/>
    <x v="2"/>
  </r>
  <r>
    <s v="ORD10838"/>
    <d v="2024-10-17T00:00:00"/>
    <s v="Aditya Mehta"/>
    <s v="Technology"/>
    <s v="Keyboards"/>
    <x v="15"/>
    <s v="East"/>
    <s v="West Bengal"/>
    <n v="240138"/>
    <n v="6"/>
    <n v="0.1"/>
    <n v="19821.89"/>
    <s v="Net Banking"/>
    <x v="0"/>
    <x v="2"/>
  </r>
  <r>
    <s v="ORD10839"/>
    <d v="2024-12-29T00:00:00"/>
    <s v="Ananya Gupta"/>
    <s v="Technology"/>
    <s v="Laptops"/>
    <x v="43"/>
    <s v="East"/>
    <s v="Odisha"/>
    <n v="112153.2"/>
    <n v="4"/>
    <n v="0.05"/>
    <n v="8291.19"/>
    <s v="Cash"/>
    <x v="0"/>
    <x v="3"/>
  </r>
  <r>
    <s v="ORD10840"/>
    <d v="2024-07-23T00:00:00"/>
    <s v="Vikram Patel"/>
    <s v="Furniture"/>
    <s v="Tables"/>
    <x v="31"/>
    <s v="North"/>
    <s v="Haryana"/>
    <n v="60320"/>
    <n v="5"/>
    <n v="0.2"/>
    <n v="3488.62"/>
    <s v="Credit Card"/>
    <x v="0"/>
    <x v="4"/>
  </r>
  <r>
    <s v="ORD10841"/>
    <d v="2025-03-23T00:00:00"/>
    <s v="Priya Singh"/>
    <s v="Furniture"/>
    <s v="Cabinets"/>
    <x v="38"/>
    <s v="South"/>
    <s v="Telangana"/>
    <n v="30230.9"/>
    <n v="2"/>
    <n v="0.05"/>
    <n v="4313.74"/>
    <s v="Credit Card"/>
    <x v="1"/>
    <x v="8"/>
  </r>
  <r>
    <s v="ORD10842"/>
    <d v="2025-07-26T00:00:00"/>
    <s v="Aarav Sharma"/>
    <s v="Office Supplies"/>
    <s v="Staplers"/>
    <x v="7"/>
    <s v="East"/>
    <s v="Bihar"/>
    <n v="9292.2000000000007"/>
    <n v="6"/>
    <n v="0.15"/>
    <n v="1252.19"/>
    <s v="Cash"/>
    <x v="1"/>
    <x v="4"/>
  </r>
  <r>
    <s v="ORD10843"/>
    <d v="2025-11-17T00:00:00"/>
    <s v="Aarav Sharma"/>
    <s v="Technology"/>
    <s v="Smartphones"/>
    <x v="1"/>
    <s v="East"/>
    <s v="Odisha"/>
    <n v="48659.1"/>
    <n v="6"/>
    <n v="0.15"/>
    <n v="3293.6"/>
    <s v="Cash"/>
    <x v="1"/>
    <x v="11"/>
  </r>
  <r>
    <s v="ORD10844"/>
    <d v="2024-10-24T00:00:00"/>
    <s v="Pooja Mishra"/>
    <s v="Office Supplies"/>
    <s v="Staplers"/>
    <x v="21"/>
    <s v="North"/>
    <s v="Delhi"/>
    <n v="5860"/>
    <n v="5"/>
    <n v="0.2"/>
    <n v="289.95"/>
    <s v="Cash"/>
    <x v="0"/>
    <x v="2"/>
  </r>
  <r>
    <s v="ORD10845"/>
    <d v="2025-05-22T00:00:00"/>
    <s v="Rahul Verma"/>
    <s v="Office Supplies"/>
    <s v="Pens"/>
    <x v="41"/>
    <s v="North"/>
    <s v="Delhi"/>
    <n v="2103.3000000000002"/>
    <n v="1"/>
    <n v="0.05"/>
    <n v="378.4"/>
    <s v="Credit Card"/>
    <x v="1"/>
    <x v="7"/>
  </r>
  <r>
    <s v="ORD10846"/>
    <d v="2024-06-05T00:00:00"/>
    <s v="Pooja Mishra"/>
    <s v="Office Supplies"/>
    <s v="Binders"/>
    <x v="22"/>
    <s v="East"/>
    <s v="Bihar"/>
    <n v="922"/>
    <n v="1"/>
    <n v="0"/>
    <n v="86.14"/>
    <s v="UPI"/>
    <x v="0"/>
    <x v="1"/>
  </r>
  <r>
    <s v="ORD10847"/>
    <d v="2024-05-04T00:00:00"/>
    <s v="Vikram Patel"/>
    <s v="Office Supplies"/>
    <s v="Paper"/>
    <x v="0"/>
    <s v="South"/>
    <s v="Tamil Nadu"/>
    <n v="13035.6"/>
    <n v="8"/>
    <n v="0.15"/>
    <n v="699.11"/>
    <s v="Cash"/>
    <x v="0"/>
    <x v="7"/>
  </r>
  <r>
    <s v="ORD10848"/>
    <d v="2024-07-08T00:00:00"/>
    <s v="Rahul Verma"/>
    <s v="Furniture"/>
    <s v="Desks"/>
    <x v="36"/>
    <s v="South"/>
    <s v="Telangana"/>
    <n v="36753.599999999999"/>
    <n v="8"/>
    <n v="0.05"/>
    <n v="7157.38"/>
    <s v="Credit Card"/>
    <x v="0"/>
    <x v="4"/>
  </r>
  <r>
    <s v="ORD10849"/>
    <d v="2025-02-04T00:00:00"/>
    <s v="Rohan Khan"/>
    <s v="Technology"/>
    <s v="Printers"/>
    <x v="39"/>
    <s v="South"/>
    <s v="Kerala"/>
    <n v="90760.5"/>
    <n v="5"/>
    <n v="0.1"/>
    <n v="17111.98"/>
    <s v="UPI"/>
    <x v="1"/>
    <x v="0"/>
  </r>
  <r>
    <s v="ORD10850"/>
    <d v="2024-11-06T00:00:00"/>
    <s v="Aarav Sharma"/>
    <s v="Furniture"/>
    <s v="Tables"/>
    <x v="26"/>
    <s v="West"/>
    <s v="Gujarat"/>
    <n v="20128"/>
    <n v="5"/>
    <n v="0.15"/>
    <n v="899.8"/>
    <s v="Net Banking"/>
    <x v="0"/>
    <x v="11"/>
  </r>
  <r>
    <s v="ORD10851"/>
    <d v="2025-05-30T00:00:00"/>
    <s v="Ananya Gupta"/>
    <s v="Furniture"/>
    <s v="Chairs"/>
    <x v="25"/>
    <s v="East"/>
    <s v="Odisha"/>
    <n v="7905.6"/>
    <n v="8"/>
    <n v="0.1"/>
    <n v="1226.3800000000001"/>
    <s v="Debit Card"/>
    <x v="1"/>
    <x v="7"/>
  </r>
  <r>
    <s v="ORD10852"/>
    <d v="2025-11-05T00:00:00"/>
    <s v="Vikram Patel"/>
    <s v="Office Supplies"/>
    <s v="Storage Boxes"/>
    <x v="14"/>
    <s v="West"/>
    <s v="Maharashtra"/>
    <n v="5648.7"/>
    <n v="3"/>
    <n v="0.05"/>
    <n v="695.74"/>
    <s v="Cash"/>
    <x v="1"/>
    <x v="11"/>
  </r>
  <r>
    <s v="ORD10853"/>
    <d v="2024-11-27T00:00:00"/>
    <s v="Pooja Mishra"/>
    <s v="Technology"/>
    <s v="Keyboards"/>
    <x v="3"/>
    <s v="West"/>
    <s v="Goa"/>
    <n v="105167.7"/>
    <n v="3"/>
    <n v="0.1"/>
    <n v="8506.43"/>
    <s v="Net Banking"/>
    <x v="0"/>
    <x v="11"/>
  </r>
  <r>
    <s v="ORD10854"/>
    <d v="2025-05-26T00:00:00"/>
    <s v="Neha Yadav"/>
    <s v="Furniture"/>
    <s v="Cabinets"/>
    <x v="40"/>
    <s v="West"/>
    <s v="Maharashtra"/>
    <n v="6015"/>
    <n v="1"/>
    <n v="0"/>
    <n v="1281.51"/>
    <s v="Debit Card"/>
    <x v="1"/>
    <x v="7"/>
  </r>
  <r>
    <s v="ORD10855"/>
    <d v="2024-04-27T00:00:00"/>
    <s v="Aarav Sharma"/>
    <s v="Technology"/>
    <s v="Smartphones"/>
    <x v="1"/>
    <s v="North"/>
    <s v="Punjab"/>
    <n v="355131"/>
    <n v="7"/>
    <n v="0"/>
    <n v="71871.67"/>
    <s v="UPI"/>
    <x v="0"/>
    <x v="5"/>
  </r>
  <r>
    <s v="ORD10856"/>
    <d v="2025-08-10T00:00:00"/>
    <s v="Aditya Mehta"/>
    <s v="Furniture"/>
    <s v="Bookcases"/>
    <x v="27"/>
    <s v="North"/>
    <s v="Punjab"/>
    <n v="29505.1"/>
    <n v="2"/>
    <n v="0.05"/>
    <n v="7826.94"/>
    <s v="Credit Card"/>
    <x v="1"/>
    <x v="9"/>
  </r>
  <r>
    <s v="ORD10857"/>
    <d v="2024-07-15T00:00:00"/>
    <s v="Priya Singh"/>
    <s v="Technology"/>
    <s v="Monitors"/>
    <x v="16"/>
    <s v="West"/>
    <s v="Goa"/>
    <n v="67906.5"/>
    <n v="5"/>
    <n v="0.15"/>
    <n v="13939"/>
    <s v="Net Banking"/>
    <x v="0"/>
    <x v="4"/>
  </r>
  <r>
    <s v="ORD10858"/>
    <d v="2024-12-14T00:00:00"/>
    <s v="Rahul Verma"/>
    <s v="Technology"/>
    <s v="Laptops"/>
    <x v="44"/>
    <s v="South"/>
    <s v="Karnataka"/>
    <n v="19811.2"/>
    <n v="1"/>
    <n v="0.2"/>
    <n v="4019.66"/>
    <s v="Net Banking"/>
    <x v="0"/>
    <x v="3"/>
  </r>
  <r>
    <s v="ORD10859"/>
    <d v="2025-01-20T00:00:00"/>
    <s v="Priya Singh"/>
    <s v="Furniture"/>
    <s v="Desks"/>
    <x v="36"/>
    <s v="South"/>
    <s v="Kerala"/>
    <n v="27116.7"/>
    <n v="6"/>
    <n v="0.15"/>
    <n v="3471"/>
    <s v="Net Banking"/>
    <x v="1"/>
    <x v="6"/>
  </r>
  <r>
    <s v="ORD10860"/>
    <d v="2024-10-23T00:00:00"/>
    <s v="Vikram Patel"/>
    <s v="Technology"/>
    <s v="Smartphones"/>
    <x v="10"/>
    <s v="East"/>
    <s v="West Bengal"/>
    <n v="117432"/>
    <n v="8"/>
    <n v="0.1"/>
    <n v="6988.2"/>
    <s v="Cash"/>
    <x v="0"/>
    <x v="2"/>
  </r>
  <r>
    <s v="ORD10861"/>
    <d v="2025-02-12T00:00:00"/>
    <s v="Pooja Mishra"/>
    <s v="Office Supplies"/>
    <s v="Pens"/>
    <x v="8"/>
    <s v="North"/>
    <s v="Punjab"/>
    <n v="3552"/>
    <n v="2"/>
    <n v="0.2"/>
    <n v="461.79"/>
    <s v="UPI"/>
    <x v="1"/>
    <x v="0"/>
  </r>
  <r>
    <s v="ORD10862"/>
    <d v="2024-03-01T00:00:00"/>
    <s v="Rahul Verma"/>
    <s v="Office Supplies"/>
    <s v="Paper"/>
    <x v="42"/>
    <s v="West"/>
    <s v="Rajasthan"/>
    <n v="1643.4"/>
    <n v="1"/>
    <n v="0.1"/>
    <n v="156.29"/>
    <s v="Credit Card"/>
    <x v="0"/>
    <x v="8"/>
  </r>
  <r>
    <s v="ORD10863"/>
    <d v="2025-09-04T00:00:00"/>
    <s v="Pooja Mishra"/>
    <s v="Office Supplies"/>
    <s v="Pens"/>
    <x v="8"/>
    <s v="North"/>
    <s v="Punjab"/>
    <n v="3032"/>
    <n v="2"/>
    <n v="0"/>
    <n v="818.58"/>
    <s v="UPI"/>
    <x v="1"/>
    <x v="10"/>
  </r>
  <r>
    <s v="ORD10864"/>
    <d v="2024-12-24T00:00:00"/>
    <s v="Rohan Khan"/>
    <s v="Office Supplies"/>
    <s v="Staplers"/>
    <x v="29"/>
    <s v="South"/>
    <s v="Telangana"/>
    <n v="1707.2"/>
    <n v="1"/>
    <n v="0.2"/>
    <n v="128.12"/>
    <s v="Cash"/>
    <x v="0"/>
    <x v="3"/>
  </r>
  <r>
    <s v="ORD10865"/>
    <d v="2025-01-31T00:00:00"/>
    <s v="Rohan Khan"/>
    <s v="Furniture"/>
    <s v="Desks"/>
    <x v="2"/>
    <s v="North"/>
    <s v="Delhi"/>
    <n v="42339.199999999997"/>
    <n v="4"/>
    <n v="0.2"/>
    <n v="5353.14"/>
    <s v="Credit Card"/>
    <x v="1"/>
    <x v="6"/>
  </r>
  <r>
    <s v="ORD10866"/>
    <d v="2024-02-29T00:00:00"/>
    <s v="Ananya Gupta"/>
    <s v="Furniture"/>
    <s v="Tables"/>
    <x v="31"/>
    <s v="South"/>
    <s v="Karnataka"/>
    <n v="24413.1"/>
    <n v="2"/>
    <n v="0.05"/>
    <n v="3323.24"/>
    <s v="Credit Card"/>
    <x v="0"/>
    <x v="0"/>
  </r>
  <r>
    <s v="ORD10867"/>
    <d v="2024-05-09T00:00:00"/>
    <s v="Neha Yadav"/>
    <s v="Technology"/>
    <s v="Printers"/>
    <x v="39"/>
    <s v="North"/>
    <s v="Punjab"/>
    <n v="53744"/>
    <n v="1"/>
    <n v="0"/>
    <n v="5123"/>
    <s v="Credit Card"/>
    <x v="0"/>
    <x v="7"/>
  </r>
  <r>
    <s v="ORD10868"/>
    <d v="2025-11-03T00:00:00"/>
    <s v="Priya Singh"/>
    <s v="Furniture"/>
    <s v="Chairs"/>
    <x v="23"/>
    <s v="East"/>
    <s v="Bihar"/>
    <n v="17170"/>
    <n v="4"/>
    <n v="0.15"/>
    <n v="2987.86"/>
    <s v="UPI"/>
    <x v="1"/>
    <x v="11"/>
  </r>
  <r>
    <s v="ORD10869"/>
    <d v="2025-07-18T00:00:00"/>
    <s v="Vikram Patel"/>
    <s v="Furniture"/>
    <s v="Cabinets"/>
    <x v="9"/>
    <s v="South"/>
    <s v="Kerala"/>
    <n v="43297.2"/>
    <n v="6"/>
    <n v="0.1"/>
    <n v="10533.58"/>
    <s v="Credit Card"/>
    <x v="1"/>
    <x v="4"/>
  </r>
  <r>
    <s v="ORD10870"/>
    <d v="2024-05-20T00:00:00"/>
    <s v="Aditya Mehta"/>
    <s v="Office Supplies"/>
    <s v="Pens"/>
    <x v="30"/>
    <s v="East"/>
    <s v="West Bengal"/>
    <n v="11291.4"/>
    <n v="6"/>
    <n v="0.1"/>
    <n v="798.18"/>
    <s v="Credit Card"/>
    <x v="0"/>
    <x v="7"/>
  </r>
  <r>
    <s v="ORD10871"/>
    <d v="2024-01-22T00:00:00"/>
    <s v="Neha Yadav"/>
    <s v="Furniture"/>
    <s v="Cabinets"/>
    <x v="38"/>
    <s v="South"/>
    <s v="Karnataka"/>
    <n v="21682.65"/>
    <n v="3"/>
    <n v="0.15"/>
    <n v="5054.42"/>
    <s v="UPI"/>
    <x v="0"/>
    <x v="6"/>
  </r>
  <r>
    <s v="ORD10872"/>
    <d v="2025-01-28T00:00:00"/>
    <s v="Neha Yadav"/>
    <s v="Furniture"/>
    <s v="Bookcases"/>
    <x v="19"/>
    <s v="West"/>
    <s v="Rajasthan"/>
    <n v="13380"/>
    <n v="1"/>
    <n v="0"/>
    <n v="3379.18"/>
    <s v="UPI"/>
    <x v="1"/>
    <x v="6"/>
  </r>
  <r>
    <s v="ORD10873"/>
    <d v="2024-12-22T00:00:00"/>
    <s v="Aarav Sharma"/>
    <s v="Technology"/>
    <s v="Smartphones"/>
    <x v="1"/>
    <s v="West"/>
    <s v="Gujarat"/>
    <n v="252679"/>
    <n v="7"/>
    <n v="0"/>
    <n v="47581.94"/>
    <s v="Net Banking"/>
    <x v="0"/>
    <x v="3"/>
  </r>
  <r>
    <s v="ORD10874"/>
    <d v="2025-11-25T00:00:00"/>
    <s v="Vikram Patel"/>
    <s v="Furniture"/>
    <s v="Bookcases"/>
    <x v="27"/>
    <s v="South"/>
    <s v="Karnataka"/>
    <n v="103663"/>
    <n v="7"/>
    <n v="0"/>
    <n v="19764.27"/>
    <s v="Net Banking"/>
    <x v="1"/>
    <x v="11"/>
  </r>
  <r>
    <s v="ORD10875"/>
    <d v="2025-11-29T00:00:00"/>
    <s v="Vikram Patel"/>
    <s v="Furniture"/>
    <s v="Tables"/>
    <x v="31"/>
    <s v="East"/>
    <s v="Odisha"/>
    <n v="68848"/>
    <n v="8"/>
    <n v="0"/>
    <n v="9372.9699999999993"/>
    <s v="UPI"/>
    <x v="1"/>
    <x v="11"/>
  </r>
  <r>
    <s v="ORD10876"/>
    <d v="2025-10-30T00:00:00"/>
    <s v="Pooja Mishra"/>
    <s v="Technology"/>
    <s v="Printers"/>
    <x v="33"/>
    <s v="East"/>
    <s v="Bihar"/>
    <n v="23499"/>
    <n v="7"/>
    <n v="0.1"/>
    <n v="4390.6899999999996"/>
    <s v="UPI"/>
    <x v="1"/>
    <x v="2"/>
  </r>
  <r>
    <s v="ORD10877"/>
    <d v="2025-01-02T00:00:00"/>
    <s v="Neha Yadav"/>
    <s v="Technology"/>
    <s v="Monitors"/>
    <x v="20"/>
    <s v="East"/>
    <s v="Bihar"/>
    <n v="252200"/>
    <n v="8"/>
    <n v="0"/>
    <n v="43703.21"/>
    <s v="Net Banking"/>
    <x v="1"/>
    <x v="6"/>
  </r>
  <r>
    <s v="ORD10878"/>
    <d v="2024-10-09T00:00:00"/>
    <s v="Vikram Patel"/>
    <s v="Technology"/>
    <s v="Keyboards"/>
    <x v="15"/>
    <s v="North"/>
    <s v="Delhi"/>
    <n v="362947.5"/>
    <n v="6"/>
    <n v="0.05"/>
    <n v="43227.55"/>
    <s v="Cash"/>
    <x v="0"/>
    <x v="2"/>
  </r>
  <r>
    <s v="ORD10879"/>
    <d v="2025-03-26T00:00:00"/>
    <s v="Pooja Mishra"/>
    <s v="Technology"/>
    <s v="Smartphones"/>
    <x v="1"/>
    <s v="South"/>
    <s v="Tamil Nadu"/>
    <n v="15625.6"/>
    <n v="1"/>
    <n v="0.05"/>
    <n v="3193.69"/>
    <s v="Debit Card"/>
    <x v="1"/>
    <x v="8"/>
  </r>
  <r>
    <s v="ORD10880"/>
    <d v="2025-09-06T00:00:00"/>
    <s v="Ananya Gupta"/>
    <s v="Technology"/>
    <s v="Printers"/>
    <x v="33"/>
    <s v="South"/>
    <s v="Karnataka"/>
    <n v="72284"/>
    <n v="5"/>
    <n v="0.2"/>
    <n v="12553.12"/>
    <s v="Debit Card"/>
    <x v="1"/>
    <x v="10"/>
  </r>
  <r>
    <s v="ORD10881"/>
    <d v="2025-11-28T00:00:00"/>
    <s v="Rohan Khan"/>
    <s v="Technology"/>
    <s v="Laptops"/>
    <x v="43"/>
    <s v="West"/>
    <s v="Maharashtra"/>
    <n v="26768"/>
    <n v="2"/>
    <n v="0.2"/>
    <n v="2791.15"/>
    <s v="UPI"/>
    <x v="1"/>
    <x v="11"/>
  </r>
  <r>
    <s v="ORD10882"/>
    <d v="2025-01-18T00:00:00"/>
    <s v="Neha Yadav"/>
    <s v="Office Supplies"/>
    <s v="Staplers"/>
    <x v="21"/>
    <s v="East"/>
    <s v="Odisha"/>
    <n v="7507.2"/>
    <n v="6"/>
    <n v="0.15"/>
    <n v="1666.44"/>
    <s v="Debit Card"/>
    <x v="1"/>
    <x v="6"/>
  </r>
  <r>
    <s v="ORD10883"/>
    <d v="2024-11-16T00:00:00"/>
    <s v="Aditya Mehta"/>
    <s v="Office Supplies"/>
    <s v="Paper"/>
    <x v="0"/>
    <s v="South"/>
    <s v="Telangana"/>
    <n v="1020"/>
    <n v="5"/>
    <n v="0"/>
    <n v="205.84"/>
    <s v="Net Banking"/>
    <x v="0"/>
    <x v="11"/>
  </r>
  <r>
    <s v="ORD10884"/>
    <d v="2024-08-17T00:00:00"/>
    <s v="Pooja Mishra"/>
    <s v="Office Supplies"/>
    <s v="Pens"/>
    <x v="41"/>
    <s v="South"/>
    <s v="Kerala"/>
    <n v="1660"/>
    <n v="1"/>
    <n v="0"/>
    <n v="449.92"/>
    <s v="Net Banking"/>
    <x v="0"/>
    <x v="9"/>
  </r>
  <r>
    <s v="ORD10885"/>
    <d v="2024-10-02T00:00:00"/>
    <s v="Ananya Gupta"/>
    <s v="Office Supplies"/>
    <s v="Storage Boxes"/>
    <x v="18"/>
    <s v="West"/>
    <s v="Maharashtra"/>
    <n v="1798.4"/>
    <n v="1"/>
    <n v="0.2"/>
    <n v="212.58"/>
    <s v="Net Banking"/>
    <x v="0"/>
    <x v="2"/>
  </r>
  <r>
    <s v="ORD10886"/>
    <d v="2025-02-23T00:00:00"/>
    <s v="Sneha Joshi"/>
    <s v="Furniture"/>
    <s v="Desks"/>
    <x v="17"/>
    <s v="East"/>
    <s v="Odisha"/>
    <n v="42237"/>
    <n v="4"/>
    <n v="0.05"/>
    <n v="6610.15"/>
    <s v="UPI"/>
    <x v="1"/>
    <x v="0"/>
  </r>
  <r>
    <s v="ORD10887"/>
    <d v="2024-05-08T00:00:00"/>
    <s v="Aditya Mehta"/>
    <s v="Furniture"/>
    <s v="Cabinets"/>
    <x v="9"/>
    <s v="North"/>
    <s v="Haryana"/>
    <n v="56766.400000000001"/>
    <n v="8"/>
    <n v="0.15"/>
    <n v="5021.1400000000003"/>
    <s v="Credit Card"/>
    <x v="0"/>
    <x v="7"/>
  </r>
  <r>
    <s v="ORD10888"/>
    <d v="2024-05-31T00:00:00"/>
    <s v="Pooja Mishra"/>
    <s v="Furniture"/>
    <s v="Cabinets"/>
    <x v="38"/>
    <s v="South"/>
    <s v="Telangana"/>
    <n v="23791.5"/>
    <n v="6"/>
    <n v="0.15"/>
    <n v="3014.49"/>
    <s v="Cash"/>
    <x v="0"/>
    <x v="7"/>
  </r>
  <r>
    <s v="ORD10889"/>
    <d v="2025-04-26T00:00:00"/>
    <s v="Priya Singh"/>
    <s v="Office Supplies"/>
    <s v="Binders"/>
    <x v="34"/>
    <s v="South"/>
    <s v="Kerala"/>
    <n v="2827.2"/>
    <n v="3"/>
    <n v="0.2"/>
    <n v="487.06"/>
    <s v="Credit Card"/>
    <x v="1"/>
    <x v="5"/>
  </r>
  <r>
    <s v="ORD10890"/>
    <d v="2025-12-14T00:00:00"/>
    <s v="Aditya Mehta"/>
    <s v="Technology"/>
    <s v="Keyboards"/>
    <x v="28"/>
    <s v="North"/>
    <s v="Punjab"/>
    <n v="94348.800000000003"/>
    <n v="3"/>
    <n v="0.1"/>
    <n v="7594.19"/>
    <s v="Credit Card"/>
    <x v="1"/>
    <x v="3"/>
  </r>
  <r>
    <s v="ORD10891"/>
    <d v="2025-02-22T00:00:00"/>
    <s v="Neha Yadav"/>
    <s v="Office Supplies"/>
    <s v="Pens"/>
    <x v="8"/>
    <s v="North"/>
    <s v="Haryana"/>
    <n v="723.6"/>
    <n v="2"/>
    <n v="0.1"/>
    <n v="177.27"/>
    <s v="Cash"/>
    <x v="1"/>
    <x v="0"/>
  </r>
  <r>
    <s v="ORD10892"/>
    <d v="2025-03-25T00:00:00"/>
    <s v="Rahul Verma"/>
    <s v="Furniture"/>
    <s v="Tables"/>
    <x v="24"/>
    <s v="South"/>
    <s v="Tamil Nadu"/>
    <n v="1793.5"/>
    <n v="2"/>
    <n v="0.15"/>
    <n v="212.31"/>
    <s v="Net Banking"/>
    <x v="1"/>
    <x v="8"/>
  </r>
  <r>
    <s v="ORD10893"/>
    <d v="2025-06-21T00:00:00"/>
    <s v="Pooja Mishra"/>
    <s v="Office Supplies"/>
    <s v="Storage Boxes"/>
    <x v="14"/>
    <s v="East"/>
    <s v="West Bengal"/>
    <n v="1188"/>
    <n v="5"/>
    <n v="0.2"/>
    <n v="158.63999999999999"/>
    <s v="Net Banking"/>
    <x v="1"/>
    <x v="1"/>
  </r>
  <r>
    <s v="ORD10894"/>
    <d v="2024-10-11T00:00:00"/>
    <s v="Pooja Mishra"/>
    <s v="Furniture"/>
    <s v="Bookcases"/>
    <x v="27"/>
    <s v="East"/>
    <s v="Jharkhand"/>
    <n v="15652.2"/>
    <n v="3"/>
    <n v="0.05"/>
    <n v="2404.3000000000002"/>
    <s v="Net Banking"/>
    <x v="0"/>
    <x v="2"/>
  </r>
  <r>
    <s v="ORD10895"/>
    <d v="2024-06-22T00:00:00"/>
    <s v="Vikram Patel"/>
    <s v="Furniture"/>
    <s v="Chairs"/>
    <x v="5"/>
    <s v="East"/>
    <s v="Bihar"/>
    <n v="16614.099999999999"/>
    <n v="2"/>
    <n v="0.15"/>
    <n v="1449.19"/>
    <s v="Debit Card"/>
    <x v="0"/>
    <x v="1"/>
  </r>
  <r>
    <s v="ORD10896"/>
    <d v="2024-02-10T00:00:00"/>
    <s v="Aditya Mehta"/>
    <s v="Office Supplies"/>
    <s v="Paper"/>
    <x v="0"/>
    <s v="South"/>
    <s v="Telangana"/>
    <n v="1582"/>
    <n v="2"/>
    <n v="0"/>
    <n v="315.89"/>
    <s v="Net Banking"/>
    <x v="0"/>
    <x v="0"/>
  </r>
  <r>
    <s v="ORD10897"/>
    <d v="2025-04-09T00:00:00"/>
    <s v="Vikram Patel"/>
    <s v="Technology"/>
    <s v="Laptops"/>
    <x v="12"/>
    <s v="West"/>
    <s v="Maharashtra"/>
    <n v="62944"/>
    <n v="4"/>
    <n v="0.2"/>
    <n v="3476.76"/>
    <s v="UPI"/>
    <x v="1"/>
    <x v="5"/>
  </r>
  <r>
    <s v="ORD10898"/>
    <d v="2024-03-21T00:00:00"/>
    <s v="Ananya Gupta"/>
    <s v="Office Supplies"/>
    <s v="Paper"/>
    <x v="37"/>
    <s v="West"/>
    <s v="Goa"/>
    <n v="6200"/>
    <n v="5"/>
    <n v="0"/>
    <n v="1696.87"/>
    <s v="UPI"/>
    <x v="0"/>
    <x v="8"/>
  </r>
  <r>
    <s v="ORD10899"/>
    <d v="2025-12-23T00:00:00"/>
    <s v="Aditya Mehta"/>
    <s v="Furniture"/>
    <s v="Desks"/>
    <x v="17"/>
    <s v="East"/>
    <s v="Bihar"/>
    <n v="18895.5"/>
    <n v="2"/>
    <n v="0.15"/>
    <n v="1182.6300000000001"/>
    <s v="Debit Card"/>
    <x v="1"/>
    <x v="3"/>
  </r>
  <r>
    <s v="ORD10900"/>
    <d v="2024-06-04T00:00:00"/>
    <s v="Neha Yadav"/>
    <s v="Technology"/>
    <s v="Printers"/>
    <x v="35"/>
    <s v="North"/>
    <s v="Delhi"/>
    <n v="112934.1"/>
    <n v="3"/>
    <n v="0.05"/>
    <n v="13615.02"/>
    <s v="Credit Card"/>
    <x v="0"/>
    <x v="1"/>
  </r>
  <r>
    <s v="ORD10901"/>
    <d v="2025-05-17T00:00:00"/>
    <s v="Aditya Mehta"/>
    <s v="Office Supplies"/>
    <s v="Staplers"/>
    <x v="21"/>
    <s v="East"/>
    <s v="Odisha"/>
    <n v="1954"/>
    <n v="2"/>
    <n v="0"/>
    <n v="326.05"/>
    <s v="Net Banking"/>
    <x v="1"/>
    <x v="7"/>
  </r>
  <r>
    <s v="ORD10902"/>
    <d v="2025-05-10T00:00:00"/>
    <s v="Aditya Mehta"/>
    <s v="Technology"/>
    <s v="Smartphones"/>
    <x v="1"/>
    <s v="North"/>
    <s v="Uttar Pradesh"/>
    <n v="196640.5"/>
    <n v="5"/>
    <n v="0.05"/>
    <n v="38353.339999999997"/>
    <s v="Credit Card"/>
    <x v="1"/>
    <x v="7"/>
  </r>
  <r>
    <s v="ORD10903"/>
    <d v="2024-08-12T00:00:00"/>
    <s v="Priya Singh"/>
    <s v="Furniture"/>
    <s v="Desks"/>
    <x v="17"/>
    <s v="East"/>
    <s v="Jharkhand"/>
    <n v="74386.899999999994"/>
    <n v="7"/>
    <n v="0.15"/>
    <n v="7556.48"/>
    <s v="Debit Card"/>
    <x v="0"/>
    <x v="9"/>
  </r>
  <r>
    <s v="ORD10904"/>
    <d v="2024-12-21T00:00:00"/>
    <s v="Rohan Khan"/>
    <s v="Furniture"/>
    <s v="Tables"/>
    <x v="24"/>
    <s v="East"/>
    <s v="Odisha"/>
    <n v="41409.9"/>
    <n v="7"/>
    <n v="0.1"/>
    <n v="7748.73"/>
    <s v="Credit Card"/>
    <x v="0"/>
    <x v="3"/>
  </r>
  <r>
    <s v="ORD10905"/>
    <d v="2024-11-26T00:00:00"/>
    <s v="Vikram Patel"/>
    <s v="Furniture"/>
    <s v="Tables"/>
    <x v="26"/>
    <s v="West"/>
    <s v="Gujarat"/>
    <n v="74073.25"/>
    <n v="5"/>
    <n v="0.15"/>
    <n v="4048.89"/>
    <s v="Debit Card"/>
    <x v="0"/>
    <x v="11"/>
  </r>
  <r>
    <s v="ORD10906"/>
    <d v="2024-12-13T00:00:00"/>
    <s v="Aarav Sharma"/>
    <s v="Furniture"/>
    <s v="Tables"/>
    <x v="31"/>
    <s v="West"/>
    <s v="Goa"/>
    <n v="11007.5"/>
    <n v="5"/>
    <n v="0.15"/>
    <n v="2070.92"/>
    <s v="Debit Card"/>
    <x v="0"/>
    <x v="3"/>
  </r>
  <r>
    <s v="ORD10907"/>
    <d v="2024-01-21T00:00:00"/>
    <s v="Aarav Sharma"/>
    <s v="Furniture"/>
    <s v="Tables"/>
    <x v="24"/>
    <s v="South"/>
    <s v="Tamil Nadu"/>
    <n v="16773.2"/>
    <n v="4"/>
    <n v="0.05"/>
    <n v="3161.62"/>
    <s v="Cash"/>
    <x v="0"/>
    <x v="6"/>
  </r>
  <r>
    <s v="ORD10908"/>
    <d v="2024-06-09T00:00:00"/>
    <s v="Aditya Mehta"/>
    <s v="Technology"/>
    <s v="Monitors"/>
    <x v="16"/>
    <s v="East"/>
    <s v="West Bengal"/>
    <n v="28152"/>
    <n v="1"/>
    <n v="0.2"/>
    <n v="1961.86"/>
    <s v="Cash"/>
    <x v="0"/>
    <x v="1"/>
  </r>
  <r>
    <s v="ORD10909"/>
    <d v="2024-02-06T00:00:00"/>
    <s v="Aarav Sharma"/>
    <s v="Office Supplies"/>
    <s v="Binders"/>
    <x v="4"/>
    <s v="East"/>
    <s v="Odisha"/>
    <n v="13474.8"/>
    <n v="6"/>
    <n v="0.05"/>
    <n v="3442.85"/>
    <s v="Net Banking"/>
    <x v="0"/>
    <x v="0"/>
  </r>
  <r>
    <s v="ORD10910"/>
    <d v="2025-12-05T00:00:00"/>
    <s v="Ananya Gupta"/>
    <s v="Technology"/>
    <s v="Printers"/>
    <x v="35"/>
    <s v="West"/>
    <s v="Goa"/>
    <n v="56293.2"/>
    <n v="3"/>
    <n v="0.05"/>
    <n v="10910.25"/>
    <s v="UPI"/>
    <x v="1"/>
    <x v="3"/>
  </r>
  <r>
    <s v="ORD10911"/>
    <d v="2025-12-21T00:00:00"/>
    <s v="Rohan Khan"/>
    <s v="Furniture"/>
    <s v="Chairs"/>
    <x v="5"/>
    <s v="West"/>
    <s v="Goa"/>
    <n v="17910"/>
    <n v="5"/>
    <n v="0"/>
    <n v="3239.95"/>
    <s v="UPI"/>
    <x v="1"/>
    <x v="3"/>
  </r>
  <r>
    <s v="ORD10912"/>
    <d v="2024-01-24T00:00:00"/>
    <s v="Vikram Patel"/>
    <s v="Technology"/>
    <s v="Printers"/>
    <x v="33"/>
    <s v="South"/>
    <s v="Karnataka"/>
    <n v="82895.399999999994"/>
    <n v="7"/>
    <n v="0.15"/>
    <n v="12017.44"/>
    <s v="Debit Card"/>
    <x v="0"/>
    <x v="6"/>
  </r>
  <r>
    <s v="ORD10913"/>
    <d v="2025-02-20T00:00:00"/>
    <s v="Aditya Mehta"/>
    <s v="Furniture"/>
    <s v="Desks"/>
    <x v="36"/>
    <s v="North"/>
    <s v="Haryana"/>
    <n v="82744"/>
    <n v="8"/>
    <n v="0"/>
    <n v="10297.540000000001"/>
    <s v="Debit Card"/>
    <x v="1"/>
    <x v="0"/>
  </r>
  <r>
    <s v="ORD10914"/>
    <d v="2025-04-08T00:00:00"/>
    <s v="Ananya Gupta"/>
    <s v="Furniture"/>
    <s v="Bookcases"/>
    <x v="19"/>
    <s v="South"/>
    <s v="Kerala"/>
    <n v="87667.199999999997"/>
    <n v="8"/>
    <n v="0.2"/>
    <n v="15159.04"/>
    <s v="Net Banking"/>
    <x v="1"/>
    <x v="5"/>
  </r>
  <r>
    <s v="ORD10915"/>
    <d v="2025-10-07T00:00:00"/>
    <s v="Priya Singh"/>
    <s v="Technology"/>
    <s v="Keyboards"/>
    <x v="15"/>
    <s v="South"/>
    <s v="Kerala"/>
    <n v="274363.2"/>
    <n v="8"/>
    <n v="0.1"/>
    <n v="22979.08"/>
    <s v="UPI"/>
    <x v="1"/>
    <x v="2"/>
  </r>
  <r>
    <s v="ORD10916"/>
    <d v="2025-06-19T00:00:00"/>
    <s v="Pooja Mishra"/>
    <s v="Office Supplies"/>
    <s v="Binders"/>
    <x v="22"/>
    <s v="South"/>
    <s v="Kerala"/>
    <n v="5603.2"/>
    <n v="4"/>
    <n v="0.2"/>
    <n v="1107.27"/>
    <s v="Credit Card"/>
    <x v="1"/>
    <x v="1"/>
  </r>
  <r>
    <s v="ORD10917"/>
    <d v="2025-09-05T00:00:00"/>
    <s v="Rohan Khan"/>
    <s v="Technology"/>
    <s v="Keyboards"/>
    <x v="15"/>
    <s v="East"/>
    <s v="Jharkhand"/>
    <n v="301741.2"/>
    <n v="6"/>
    <n v="0.1"/>
    <n v="58175.56"/>
    <s v="UPI"/>
    <x v="1"/>
    <x v="10"/>
  </r>
  <r>
    <s v="ORD10918"/>
    <d v="2024-03-24T00:00:00"/>
    <s v="Priya Singh"/>
    <s v="Furniture"/>
    <s v="Desks"/>
    <x v="17"/>
    <s v="West"/>
    <s v="Goa"/>
    <n v="50937.599999999999"/>
    <n v="4"/>
    <n v="0.2"/>
    <n v="7180.24"/>
    <s v="Cash"/>
    <x v="0"/>
    <x v="8"/>
  </r>
  <r>
    <s v="ORD10919"/>
    <d v="2024-04-26T00:00:00"/>
    <s v="Aarav Sharma"/>
    <s v="Office Supplies"/>
    <s v="Paper"/>
    <x v="0"/>
    <s v="West"/>
    <s v="Gujarat"/>
    <n v="2223"/>
    <n v="3"/>
    <n v="0.05"/>
    <n v="344.61"/>
    <s v="Cash"/>
    <x v="0"/>
    <x v="5"/>
  </r>
  <r>
    <s v="ORD10920"/>
    <d v="2024-10-28T00:00:00"/>
    <s v="Vikram Patel"/>
    <s v="Furniture"/>
    <s v="Desks"/>
    <x v="36"/>
    <s v="West"/>
    <s v="Gujarat"/>
    <n v="7721"/>
    <n v="7"/>
    <n v="0"/>
    <n v="1290.1500000000001"/>
    <s v="Net Banking"/>
    <x v="0"/>
    <x v="2"/>
  </r>
  <r>
    <s v="ORD10921"/>
    <d v="2025-04-28T00:00:00"/>
    <s v="Neha Yadav"/>
    <s v="Furniture"/>
    <s v="Cabinets"/>
    <x v="40"/>
    <s v="East"/>
    <s v="Odisha"/>
    <n v="29996"/>
    <n v="5"/>
    <n v="0.2"/>
    <n v="4526.5"/>
    <s v="Credit Card"/>
    <x v="1"/>
    <x v="5"/>
  </r>
  <r>
    <s v="ORD10922"/>
    <d v="2024-01-06T00:00:00"/>
    <s v="Vikram Patel"/>
    <s v="Furniture"/>
    <s v="Desks"/>
    <x v="2"/>
    <s v="South"/>
    <s v="Kerala"/>
    <n v="34027.199999999997"/>
    <n v="6"/>
    <n v="0.15"/>
    <n v="1902.45"/>
    <s v="Credit Card"/>
    <x v="0"/>
    <x v="6"/>
  </r>
  <r>
    <s v="ORD10923"/>
    <d v="2025-07-26T00:00:00"/>
    <s v="Ananya Gupta"/>
    <s v="Technology"/>
    <s v="Laptops"/>
    <x v="44"/>
    <s v="West"/>
    <s v="Rajasthan"/>
    <n v="42158"/>
    <n v="1"/>
    <n v="0"/>
    <n v="6327.52"/>
    <s v="Debit Card"/>
    <x v="1"/>
    <x v="4"/>
  </r>
  <r>
    <s v="ORD10924"/>
    <d v="2024-09-17T00:00:00"/>
    <s v="Aditya Mehta"/>
    <s v="Office Supplies"/>
    <s v="Paper"/>
    <x v="37"/>
    <s v="South"/>
    <s v="Telangana"/>
    <n v="8982.4"/>
    <n v="7"/>
    <n v="0.2"/>
    <n v="1647.35"/>
    <s v="Net Banking"/>
    <x v="0"/>
    <x v="10"/>
  </r>
  <r>
    <s v="ORD10925"/>
    <d v="2025-06-18T00:00:00"/>
    <s v="Pooja Mishra"/>
    <s v="Office Supplies"/>
    <s v="Binders"/>
    <x v="34"/>
    <s v="North"/>
    <s v="Punjab"/>
    <n v="3763.2"/>
    <n v="4"/>
    <n v="0.2"/>
    <n v="189.91"/>
    <s v="Cash"/>
    <x v="1"/>
    <x v="1"/>
  </r>
  <r>
    <s v="ORD10926"/>
    <d v="2025-09-21T00:00:00"/>
    <s v="Rahul Verma"/>
    <s v="Furniture"/>
    <s v="Cabinets"/>
    <x v="40"/>
    <s v="East"/>
    <s v="Jharkhand"/>
    <n v="25188"/>
    <n v="3"/>
    <n v="0"/>
    <n v="6697.73"/>
    <s v="Credit Card"/>
    <x v="1"/>
    <x v="10"/>
  </r>
  <r>
    <s v="ORD10927"/>
    <d v="2024-11-30T00:00:00"/>
    <s v="Vikram Patel"/>
    <s v="Technology"/>
    <s v="Keyboards"/>
    <x v="28"/>
    <s v="North"/>
    <s v="Haryana"/>
    <n v="8649.6"/>
    <n v="1"/>
    <n v="0.15"/>
    <n v="1517.73"/>
    <s v="Net Banking"/>
    <x v="0"/>
    <x v="11"/>
  </r>
  <r>
    <s v="ORD10928"/>
    <d v="2025-09-11T00:00:00"/>
    <s v="Ananya Gupta"/>
    <s v="Technology"/>
    <s v="Smartphones"/>
    <x v="13"/>
    <s v="West"/>
    <s v="Goa"/>
    <n v="176140.79999999999"/>
    <n v="8"/>
    <n v="0.1"/>
    <n v="28382.82"/>
    <s v="Credit Card"/>
    <x v="1"/>
    <x v="10"/>
  </r>
  <r>
    <s v="ORD10929"/>
    <d v="2025-10-29T00:00:00"/>
    <s v="Sneha Joshi"/>
    <s v="Office Supplies"/>
    <s v="Pens"/>
    <x v="41"/>
    <s v="South"/>
    <s v="Kerala"/>
    <n v="3788.8"/>
    <n v="8"/>
    <n v="0.2"/>
    <n v="795.47"/>
    <s v="Credit Card"/>
    <x v="1"/>
    <x v="2"/>
  </r>
  <r>
    <s v="ORD10930"/>
    <d v="2024-01-11T00:00:00"/>
    <s v="Ananya Gupta"/>
    <s v="Technology"/>
    <s v="Monitors"/>
    <x v="16"/>
    <s v="West"/>
    <s v="Rajasthan"/>
    <n v="95823"/>
    <n v="7"/>
    <n v="0.1"/>
    <n v="8700.84"/>
    <s v="Cash"/>
    <x v="0"/>
    <x v="6"/>
  </r>
  <r>
    <s v="ORD10931"/>
    <d v="2024-01-14T00:00:00"/>
    <s v="Pooja Mishra"/>
    <s v="Furniture"/>
    <s v="Cabinets"/>
    <x v="9"/>
    <s v="South"/>
    <s v="Karnataka"/>
    <n v="17473.5"/>
    <n v="5"/>
    <n v="0.1"/>
    <n v="2718.15"/>
    <s v="Debit Card"/>
    <x v="0"/>
    <x v="6"/>
  </r>
  <r>
    <s v="ORD10932"/>
    <d v="2025-04-27T00:00:00"/>
    <s v="Pooja Mishra"/>
    <s v="Technology"/>
    <s v="Monitors"/>
    <x v="20"/>
    <s v="West"/>
    <s v="Goa"/>
    <n v="95840"/>
    <n v="5"/>
    <n v="0"/>
    <n v="24212.74"/>
    <s v="Cash"/>
    <x v="1"/>
    <x v="5"/>
  </r>
  <r>
    <s v="ORD10933"/>
    <d v="2024-05-02T00:00:00"/>
    <s v="Aarav Sharma"/>
    <s v="Furniture"/>
    <s v="Desks"/>
    <x v="2"/>
    <s v="West"/>
    <s v="Maharashtra"/>
    <n v="33168.300000000003"/>
    <n v="6"/>
    <n v="0.05"/>
    <n v="2788.29"/>
    <s v="Cash"/>
    <x v="0"/>
    <x v="7"/>
  </r>
  <r>
    <s v="ORD10934"/>
    <d v="2024-11-20T00:00:00"/>
    <s v="Rahul Verma"/>
    <s v="Office Supplies"/>
    <s v="Paper"/>
    <x v="42"/>
    <s v="East"/>
    <s v="West Bengal"/>
    <n v="756"/>
    <n v="5"/>
    <n v="0.1"/>
    <n v="168.18"/>
    <s v="Net Banking"/>
    <x v="0"/>
    <x v="11"/>
  </r>
  <r>
    <s v="ORD10935"/>
    <d v="2024-03-26T00:00:00"/>
    <s v="Rahul Verma"/>
    <s v="Office Supplies"/>
    <s v="Pens"/>
    <x v="8"/>
    <s v="North"/>
    <s v="Uttar Pradesh"/>
    <n v="2046.3"/>
    <n v="1"/>
    <n v="0.05"/>
    <n v="436.46"/>
    <s v="Cash"/>
    <x v="0"/>
    <x v="8"/>
  </r>
  <r>
    <s v="ORD10936"/>
    <d v="2025-04-22T00:00:00"/>
    <s v="Pooja Mishra"/>
    <s v="Technology"/>
    <s v="Monitors"/>
    <x v="20"/>
    <s v="South"/>
    <s v="Kerala"/>
    <n v="19432.8"/>
    <n v="1"/>
    <n v="0.1"/>
    <n v="1526.31"/>
    <s v="UPI"/>
    <x v="1"/>
    <x v="5"/>
  </r>
  <r>
    <s v="ORD10937"/>
    <d v="2024-01-21T00:00:00"/>
    <s v="Rahul Verma"/>
    <s v="Office Supplies"/>
    <s v="Staplers"/>
    <x v="21"/>
    <s v="North"/>
    <s v="Delhi"/>
    <n v="2322"/>
    <n v="3"/>
    <n v="0.1"/>
    <n v="402.24"/>
    <s v="UPI"/>
    <x v="0"/>
    <x v="6"/>
  </r>
  <r>
    <s v="ORD10938"/>
    <d v="2025-12-23T00:00:00"/>
    <s v="Vikram Patel"/>
    <s v="Technology"/>
    <s v="Monitors"/>
    <x v="16"/>
    <s v="West"/>
    <s v="Maharashtra"/>
    <n v="76932"/>
    <n v="4"/>
    <n v="0.1"/>
    <n v="5051.8999999999996"/>
    <s v="Credit Card"/>
    <x v="1"/>
    <x v="3"/>
  </r>
  <r>
    <s v="ORD10939"/>
    <d v="2025-03-26T00:00:00"/>
    <s v="Vikram Patel"/>
    <s v="Furniture"/>
    <s v="Desks"/>
    <x v="2"/>
    <s v="East"/>
    <s v="Jharkhand"/>
    <n v="26380.799999999999"/>
    <n v="4"/>
    <n v="0.1"/>
    <n v="2819.34"/>
    <s v="UPI"/>
    <x v="1"/>
    <x v="8"/>
  </r>
  <r>
    <s v="ORD10940"/>
    <d v="2025-07-04T00:00:00"/>
    <s v="Pooja Mishra"/>
    <s v="Furniture"/>
    <s v="Bookcases"/>
    <x v="32"/>
    <s v="East"/>
    <s v="Bihar"/>
    <n v="40870.400000000001"/>
    <n v="8"/>
    <n v="0.2"/>
    <n v="4378.7"/>
    <s v="Credit Card"/>
    <x v="1"/>
    <x v="4"/>
  </r>
  <r>
    <s v="ORD10941"/>
    <d v="2024-08-03T00:00:00"/>
    <s v="Vikram Patel"/>
    <s v="Office Supplies"/>
    <s v="Staplers"/>
    <x v="21"/>
    <s v="East"/>
    <s v="Bihar"/>
    <n v="12738.6"/>
    <n v="6"/>
    <n v="0.1"/>
    <n v="931.85"/>
    <s v="Credit Card"/>
    <x v="0"/>
    <x v="9"/>
  </r>
  <r>
    <s v="ORD10942"/>
    <d v="2025-07-31T00:00:00"/>
    <s v="Rohan Khan"/>
    <s v="Furniture"/>
    <s v="Bookcases"/>
    <x v="32"/>
    <s v="North"/>
    <s v="Delhi"/>
    <n v="12914.4"/>
    <n v="3"/>
    <n v="0.2"/>
    <n v="1221.68"/>
    <s v="Net Banking"/>
    <x v="1"/>
    <x v="4"/>
  </r>
  <r>
    <s v="ORD10943"/>
    <d v="2024-04-12T00:00:00"/>
    <s v="Rahul Verma"/>
    <s v="Technology"/>
    <s v="Monitors"/>
    <x v="20"/>
    <s v="North"/>
    <s v="Haryana"/>
    <n v="77805.899999999994"/>
    <n v="3"/>
    <n v="0.1"/>
    <n v="14361.12"/>
    <s v="Debit Card"/>
    <x v="0"/>
    <x v="5"/>
  </r>
  <r>
    <s v="ORD10944"/>
    <d v="2025-04-29T00:00:00"/>
    <s v="Ananya Gupta"/>
    <s v="Furniture"/>
    <s v="Desks"/>
    <x v="2"/>
    <s v="West"/>
    <s v="Gujarat"/>
    <n v="107140.8"/>
    <n v="8"/>
    <n v="0.15"/>
    <n v="20216.5"/>
    <s v="Debit Card"/>
    <x v="1"/>
    <x v="5"/>
  </r>
  <r>
    <s v="ORD10945"/>
    <d v="2025-03-12T00:00:00"/>
    <s v="Vikram Patel"/>
    <s v="Office Supplies"/>
    <s v="Pens"/>
    <x v="41"/>
    <s v="East"/>
    <s v="Jharkhand"/>
    <n v="5930.4"/>
    <n v="7"/>
    <n v="0.2"/>
    <n v="305.83999999999997"/>
    <s v="Net Banking"/>
    <x v="1"/>
    <x v="8"/>
  </r>
  <r>
    <s v="ORD10946"/>
    <d v="2025-08-04T00:00:00"/>
    <s v="Rahul Verma"/>
    <s v="Furniture"/>
    <s v="Cabinets"/>
    <x v="9"/>
    <s v="North"/>
    <s v="Punjab"/>
    <n v="30349.65"/>
    <n v="3"/>
    <n v="0.05"/>
    <n v="7824.1"/>
    <s v="Credit Card"/>
    <x v="1"/>
    <x v="9"/>
  </r>
  <r>
    <s v="ORD10947"/>
    <d v="2024-01-01T00:00:00"/>
    <s v="Rahul Verma"/>
    <s v="Office Supplies"/>
    <s v="Pens"/>
    <x v="8"/>
    <s v="North"/>
    <s v="Delhi"/>
    <n v="5043.8999999999996"/>
    <n v="3"/>
    <n v="0.15"/>
    <n v="381.16"/>
    <s v="Credit Card"/>
    <x v="0"/>
    <x v="6"/>
  </r>
  <r>
    <s v="ORD10948"/>
    <d v="2024-06-06T00:00:00"/>
    <s v="Aditya Mehta"/>
    <s v="Technology"/>
    <s v="Monitors"/>
    <x v="20"/>
    <s v="East"/>
    <s v="West Bengal"/>
    <n v="229656"/>
    <n v="4"/>
    <n v="0"/>
    <n v="51632.84"/>
    <s v="Debit Card"/>
    <x v="0"/>
    <x v="1"/>
  </r>
  <r>
    <s v="ORD10949"/>
    <d v="2025-04-19T00:00:00"/>
    <s v="Ananya Gupta"/>
    <s v="Technology"/>
    <s v="Keyboards"/>
    <x v="28"/>
    <s v="South"/>
    <s v="Telangana"/>
    <n v="253184.4"/>
    <n v="8"/>
    <n v="0.15"/>
    <n v="44607.89"/>
    <s v="UPI"/>
    <x v="1"/>
    <x v="5"/>
  </r>
  <r>
    <s v="ORD10950"/>
    <d v="2024-03-14T00:00:00"/>
    <s v="Sneha Joshi"/>
    <s v="Furniture"/>
    <s v="Desks"/>
    <x v="17"/>
    <s v="East"/>
    <s v="Odisha"/>
    <n v="48379.199999999997"/>
    <n v="6"/>
    <n v="0.2"/>
    <n v="5262.21"/>
    <s v="Cash"/>
    <x v="0"/>
    <x v="8"/>
  </r>
  <r>
    <s v="ORD10951"/>
    <d v="2024-01-02T00:00:00"/>
    <s v="Pooja Mishra"/>
    <s v="Office Supplies"/>
    <s v="Storage Boxes"/>
    <x v="18"/>
    <s v="North"/>
    <s v="Punjab"/>
    <n v="4349.7"/>
    <n v="3"/>
    <n v="0.1"/>
    <n v="534.88"/>
    <s v="Net Banking"/>
    <x v="0"/>
    <x v="6"/>
  </r>
  <r>
    <s v="ORD10952"/>
    <d v="2025-01-28T00:00:00"/>
    <s v="Rahul Verma"/>
    <s v="Furniture"/>
    <s v="Chairs"/>
    <x v="25"/>
    <s v="South"/>
    <s v="Tamil Nadu"/>
    <n v="26251.4"/>
    <n v="4"/>
    <n v="0.15"/>
    <n v="1603.17"/>
    <s v="Cash"/>
    <x v="1"/>
    <x v="6"/>
  </r>
  <r>
    <s v="ORD10953"/>
    <d v="2025-11-29T00:00:00"/>
    <s v="Aditya Mehta"/>
    <s v="Technology"/>
    <s v="Monitors"/>
    <x v="16"/>
    <s v="East"/>
    <s v="Jharkhand"/>
    <n v="26463.200000000001"/>
    <n v="8"/>
    <n v="0.05"/>
    <n v="2651.84"/>
    <s v="UPI"/>
    <x v="1"/>
    <x v="11"/>
  </r>
  <r>
    <s v="ORD10954"/>
    <d v="2025-06-03T00:00:00"/>
    <s v="Rohan Khan"/>
    <s v="Furniture"/>
    <s v="Chairs"/>
    <x v="23"/>
    <s v="East"/>
    <s v="West Bengal"/>
    <n v="7560"/>
    <n v="7"/>
    <n v="0.1"/>
    <n v="610.45000000000005"/>
    <s v="Cash"/>
    <x v="1"/>
    <x v="1"/>
  </r>
  <r>
    <s v="ORD10955"/>
    <d v="2025-04-06T00:00:00"/>
    <s v="Aditya Mehta"/>
    <s v="Technology"/>
    <s v="Keyboards"/>
    <x v="28"/>
    <s v="West"/>
    <s v="Goa"/>
    <n v="116204"/>
    <n v="5"/>
    <n v="0.2"/>
    <n v="22244.35"/>
    <s v="Debit Card"/>
    <x v="1"/>
    <x v="5"/>
  </r>
  <r>
    <s v="ORD10956"/>
    <d v="2025-12-25T00:00:00"/>
    <s v="Pooja Mishra"/>
    <s v="Furniture"/>
    <s v="Bookcases"/>
    <x v="19"/>
    <s v="East"/>
    <s v="West Bengal"/>
    <n v="88877.25"/>
    <n v="7"/>
    <n v="0.05"/>
    <n v="6122.87"/>
    <s v="Debit Card"/>
    <x v="1"/>
    <x v="3"/>
  </r>
  <r>
    <s v="ORD10957"/>
    <d v="2024-02-21T00:00:00"/>
    <s v="Pooja Mishra"/>
    <s v="Technology"/>
    <s v="Printers"/>
    <x v="35"/>
    <s v="West"/>
    <s v="Goa"/>
    <n v="133701.6"/>
    <n v="8"/>
    <n v="0.15"/>
    <n v="17989.57"/>
    <s v="Debit Card"/>
    <x v="0"/>
    <x v="0"/>
  </r>
  <r>
    <s v="ORD10958"/>
    <d v="2024-11-28T00:00:00"/>
    <s v="Vikram Patel"/>
    <s v="Furniture"/>
    <s v="Tables"/>
    <x v="26"/>
    <s v="East"/>
    <s v="Bihar"/>
    <n v="44234"/>
    <n v="5"/>
    <n v="0.15"/>
    <n v="2034.93"/>
    <s v="UPI"/>
    <x v="0"/>
    <x v="11"/>
  </r>
  <r>
    <s v="ORD10959"/>
    <d v="2024-05-28T00:00:00"/>
    <s v="Neha Yadav"/>
    <s v="Office Supplies"/>
    <s v="Paper"/>
    <x v="42"/>
    <s v="East"/>
    <s v="West Bengal"/>
    <n v="2486.4"/>
    <n v="7"/>
    <n v="0.2"/>
    <n v="121.62"/>
    <s v="Cash"/>
    <x v="0"/>
    <x v="7"/>
  </r>
  <r>
    <s v="ORD10960"/>
    <d v="2025-09-15T00:00:00"/>
    <s v="Priya Singh"/>
    <s v="Furniture"/>
    <s v="Bookcases"/>
    <x v="32"/>
    <s v="West"/>
    <s v="Gujarat"/>
    <n v="23810.400000000001"/>
    <n v="8"/>
    <n v="0.1"/>
    <n v="1491.9"/>
    <s v="Cash"/>
    <x v="1"/>
    <x v="10"/>
  </r>
  <r>
    <s v="ORD10961"/>
    <d v="2025-03-19T00:00:00"/>
    <s v="Priya Singh"/>
    <s v="Office Supplies"/>
    <s v="Paper"/>
    <x v="37"/>
    <s v="East"/>
    <s v="Bihar"/>
    <n v="8064"/>
    <n v="7"/>
    <n v="0"/>
    <n v="1994.8"/>
    <s v="Credit Card"/>
    <x v="1"/>
    <x v="8"/>
  </r>
  <r>
    <s v="ORD10962"/>
    <d v="2025-12-06T00:00:00"/>
    <s v="Rahul Verma"/>
    <s v="Office Supplies"/>
    <s v="Pens"/>
    <x v="41"/>
    <s v="East"/>
    <s v="Odisha"/>
    <n v="833.85"/>
    <n v="1"/>
    <n v="0.15"/>
    <n v="81.260000000000005"/>
    <s v="Debit Card"/>
    <x v="1"/>
    <x v="3"/>
  </r>
  <r>
    <s v="ORD10963"/>
    <d v="2025-02-28T00:00:00"/>
    <s v="Rahul Verma"/>
    <s v="Office Supplies"/>
    <s v="Paper"/>
    <x v="42"/>
    <s v="West"/>
    <s v="Gujarat"/>
    <n v="8393.25"/>
    <n v="5"/>
    <n v="0.05"/>
    <n v="597.97"/>
    <s v="Debit Card"/>
    <x v="1"/>
    <x v="0"/>
  </r>
  <r>
    <s v="ORD10964"/>
    <d v="2025-12-30T00:00:00"/>
    <s v="Pooja Mishra"/>
    <s v="Furniture"/>
    <s v="Tables"/>
    <x v="26"/>
    <s v="East"/>
    <s v="West Bengal"/>
    <n v="45744"/>
    <n v="4"/>
    <n v="0"/>
    <n v="9252.9699999999993"/>
    <s v="Cash"/>
    <x v="1"/>
    <x v="3"/>
  </r>
  <r>
    <s v="ORD10965"/>
    <d v="2024-06-04T00:00:00"/>
    <s v="Neha Yadav"/>
    <s v="Office Supplies"/>
    <s v="Staplers"/>
    <x v="7"/>
    <s v="East"/>
    <s v="Jharkhand"/>
    <n v="1268.0999999999999"/>
    <n v="1"/>
    <n v="0.1"/>
    <n v="278.38"/>
    <s v="Cash"/>
    <x v="0"/>
    <x v="1"/>
  </r>
  <r>
    <s v="ORD10966"/>
    <d v="2024-03-26T00:00:00"/>
    <s v="Ananya Gupta"/>
    <s v="Technology"/>
    <s v="Printers"/>
    <x v="39"/>
    <s v="South"/>
    <s v="Kerala"/>
    <n v="18558.400000000001"/>
    <n v="7"/>
    <n v="0.2"/>
    <n v="4212.5600000000004"/>
    <s v="Net Banking"/>
    <x v="0"/>
    <x v="8"/>
  </r>
  <r>
    <s v="ORD10967"/>
    <d v="2025-08-01T00:00:00"/>
    <s v="Rohan Khan"/>
    <s v="Furniture"/>
    <s v="Bookcases"/>
    <x v="27"/>
    <s v="East"/>
    <s v="Bihar"/>
    <n v="44900.800000000003"/>
    <n v="8"/>
    <n v="0.05"/>
    <n v="8636.7999999999993"/>
    <s v="Cash"/>
    <x v="1"/>
    <x v="9"/>
  </r>
  <r>
    <s v="ORD10968"/>
    <d v="2024-04-23T00:00:00"/>
    <s v="Pooja Mishra"/>
    <s v="Technology"/>
    <s v="Monitors"/>
    <x v="11"/>
    <s v="West"/>
    <s v="Gujarat"/>
    <n v="66300"/>
    <n v="3"/>
    <n v="0.15"/>
    <n v="5712.48"/>
    <s v="Debit Card"/>
    <x v="0"/>
    <x v="5"/>
  </r>
  <r>
    <s v="ORD10969"/>
    <d v="2025-11-11T00:00:00"/>
    <s v="Sneha Joshi"/>
    <s v="Technology"/>
    <s v="Smartphones"/>
    <x v="13"/>
    <s v="West"/>
    <s v="Goa"/>
    <n v="102978"/>
    <n v="4"/>
    <n v="0.1"/>
    <n v="18644.7"/>
    <s v="Net Banking"/>
    <x v="1"/>
    <x v="11"/>
  </r>
  <r>
    <s v="ORD10970"/>
    <d v="2024-06-30T00:00:00"/>
    <s v="Rohan Khan"/>
    <s v="Office Supplies"/>
    <s v="Storage Boxes"/>
    <x v="6"/>
    <s v="West"/>
    <s v="Gujarat"/>
    <n v="8649.6"/>
    <n v="8"/>
    <n v="0.15"/>
    <n v="639.15"/>
    <s v="Debit Card"/>
    <x v="0"/>
    <x v="1"/>
  </r>
  <r>
    <s v="ORD10971"/>
    <d v="2025-03-04T00:00:00"/>
    <s v="Rohan Khan"/>
    <s v="Technology"/>
    <s v="Printers"/>
    <x v="33"/>
    <s v="East"/>
    <s v="Jharkhand"/>
    <n v="110361.60000000001"/>
    <n v="3"/>
    <n v="0.2"/>
    <n v="17726.37"/>
    <s v="Credit Card"/>
    <x v="1"/>
    <x v="8"/>
  </r>
  <r>
    <s v="ORD10972"/>
    <d v="2024-06-19T00:00:00"/>
    <s v="Pooja Mishra"/>
    <s v="Office Supplies"/>
    <s v="Paper"/>
    <x v="42"/>
    <s v="South"/>
    <s v="Tamil Nadu"/>
    <n v="347.4"/>
    <n v="2"/>
    <n v="0.1"/>
    <n v="61.48"/>
    <s v="Cash"/>
    <x v="0"/>
    <x v="1"/>
  </r>
  <r>
    <s v="ORD10973"/>
    <d v="2024-09-02T00:00:00"/>
    <s v="Rahul Verma"/>
    <s v="Office Supplies"/>
    <s v="Paper"/>
    <x v="42"/>
    <s v="East"/>
    <s v="West Bengal"/>
    <n v="5918.5"/>
    <n v="7"/>
    <n v="0.05"/>
    <n v="941.36"/>
    <s v="Cash"/>
    <x v="0"/>
    <x v="10"/>
  </r>
  <r>
    <s v="ORD10974"/>
    <d v="2024-09-07T00:00:00"/>
    <s v="Pooja Mishra"/>
    <s v="Office Supplies"/>
    <s v="Binders"/>
    <x v="4"/>
    <s v="East"/>
    <s v="Odisha"/>
    <n v="1515.2"/>
    <n v="2"/>
    <n v="0.2"/>
    <n v="185.21"/>
    <s v="Cash"/>
    <x v="0"/>
    <x v="10"/>
  </r>
  <r>
    <s v="ORD10975"/>
    <d v="2024-03-12T00:00:00"/>
    <s v="Aarav Sharma"/>
    <s v="Technology"/>
    <s v="Smartphones"/>
    <x v="1"/>
    <s v="West"/>
    <s v="Maharashtra"/>
    <n v="297595.2"/>
    <n v="6"/>
    <n v="0.15"/>
    <n v="55623.3"/>
    <s v="UPI"/>
    <x v="0"/>
    <x v="8"/>
  </r>
  <r>
    <s v="ORD10976"/>
    <d v="2025-09-13T00:00:00"/>
    <s v="Aditya Mehta"/>
    <s v="Office Supplies"/>
    <s v="Staplers"/>
    <x v="21"/>
    <s v="West"/>
    <s v="Goa"/>
    <n v="16100"/>
    <n v="7"/>
    <n v="0"/>
    <n v="3592.86"/>
    <s v="UPI"/>
    <x v="1"/>
    <x v="10"/>
  </r>
  <r>
    <s v="ORD10977"/>
    <d v="2024-05-07T00:00:00"/>
    <s v="Priya Singh"/>
    <s v="Furniture"/>
    <s v="Tables"/>
    <x v="31"/>
    <s v="North"/>
    <s v="Haryana"/>
    <n v="11804.8"/>
    <n v="1"/>
    <n v="0.15"/>
    <n v="1513.58"/>
    <s v="Credit Card"/>
    <x v="0"/>
    <x v="7"/>
  </r>
  <r>
    <s v="ORD10978"/>
    <d v="2024-08-03T00:00:00"/>
    <s v="Vikram Patel"/>
    <s v="Furniture"/>
    <s v="Cabinets"/>
    <x v="38"/>
    <s v="North"/>
    <s v="Punjab"/>
    <n v="79367.75"/>
    <n v="7"/>
    <n v="0.05"/>
    <n v="17985.580000000002"/>
    <s v="UPI"/>
    <x v="0"/>
    <x v="9"/>
  </r>
  <r>
    <s v="ORD10979"/>
    <d v="2025-12-17T00:00:00"/>
    <s v="Vikram Patel"/>
    <s v="Furniture"/>
    <s v="Chairs"/>
    <x v="5"/>
    <s v="West"/>
    <s v="Goa"/>
    <n v="47142"/>
    <n v="5"/>
    <n v="0.1"/>
    <n v="10016.49"/>
    <s v="Net Banking"/>
    <x v="1"/>
    <x v="3"/>
  </r>
  <r>
    <s v="ORD10980"/>
    <d v="2024-10-25T00:00:00"/>
    <s v="Vikram Patel"/>
    <s v="Furniture"/>
    <s v="Cabinets"/>
    <x v="40"/>
    <s v="North"/>
    <s v="Punjab"/>
    <n v="32168"/>
    <n v="5"/>
    <n v="0.2"/>
    <n v="3298.66"/>
    <s v="Credit Card"/>
    <x v="0"/>
    <x v="2"/>
  </r>
  <r>
    <s v="ORD10981"/>
    <d v="2025-01-28T00:00:00"/>
    <s v="Vikram Patel"/>
    <s v="Office Supplies"/>
    <s v="Pens"/>
    <x v="41"/>
    <s v="West"/>
    <s v="Goa"/>
    <n v="2800"/>
    <n v="5"/>
    <n v="0.2"/>
    <n v="247.71"/>
    <s v="Credit Card"/>
    <x v="1"/>
    <x v="6"/>
  </r>
  <r>
    <s v="ORD10982"/>
    <d v="2025-09-25T00:00:00"/>
    <s v="Rahul Verma"/>
    <s v="Technology"/>
    <s v="Smartphones"/>
    <x v="1"/>
    <s v="East"/>
    <s v="Odisha"/>
    <n v="14560.8"/>
    <n v="1"/>
    <n v="0.2"/>
    <n v="1618.71"/>
    <s v="Debit Card"/>
    <x v="1"/>
    <x v="10"/>
  </r>
  <r>
    <s v="ORD10983"/>
    <d v="2025-01-23T00:00:00"/>
    <s v="Aarav Sharma"/>
    <s v="Office Supplies"/>
    <s v="Binders"/>
    <x v="4"/>
    <s v="East"/>
    <s v="Bihar"/>
    <n v="15306.8"/>
    <n v="8"/>
    <n v="0.15"/>
    <n v="1187.46"/>
    <s v="UPI"/>
    <x v="1"/>
    <x v="6"/>
  </r>
  <r>
    <s v="ORD10984"/>
    <d v="2025-08-06T00:00:00"/>
    <s v="Aarav Sharma"/>
    <s v="Furniture"/>
    <s v="Desks"/>
    <x v="2"/>
    <s v="East"/>
    <s v="Odisha"/>
    <n v="12738.6"/>
    <n v="3"/>
    <n v="0.1"/>
    <n v="1971.4"/>
    <s v="Net Banking"/>
    <x v="1"/>
    <x v="9"/>
  </r>
  <r>
    <s v="ORD10985"/>
    <d v="2025-07-01T00:00:00"/>
    <s v="Aditya Mehta"/>
    <s v="Technology"/>
    <s v="Smartphones"/>
    <x v="13"/>
    <s v="East"/>
    <s v="West Bengal"/>
    <n v="127184"/>
    <n v="2"/>
    <n v="0"/>
    <n v="17080.14"/>
    <s v="UPI"/>
    <x v="1"/>
    <x v="4"/>
  </r>
  <r>
    <s v="ORD10986"/>
    <d v="2025-09-15T00:00:00"/>
    <s v="Vikram Patel"/>
    <s v="Technology"/>
    <s v="Keyboards"/>
    <x v="15"/>
    <s v="South"/>
    <s v="Tamil Nadu"/>
    <n v="118320"/>
    <n v="3"/>
    <n v="0.15"/>
    <n v="9227.32"/>
    <s v="Net Banking"/>
    <x v="1"/>
    <x v="10"/>
  </r>
  <r>
    <s v="ORD10987"/>
    <d v="2025-08-18T00:00:00"/>
    <s v="Neha Yadav"/>
    <s v="Furniture"/>
    <s v="Chairs"/>
    <x v="5"/>
    <s v="South"/>
    <s v="Karnataka"/>
    <n v="36128.5"/>
    <n v="5"/>
    <n v="0.05"/>
    <n v="6670.6"/>
    <s v="Cash"/>
    <x v="1"/>
    <x v="9"/>
  </r>
  <r>
    <s v="ORD10988"/>
    <d v="2024-07-21T00:00:00"/>
    <s v="Priya Singh"/>
    <s v="Technology"/>
    <s v="Printers"/>
    <x v="33"/>
    <s v="North"/>
    <s v="Haryana"/>
    <n v="23922.400000000001"/>
    <n v="2"/>
    <n v="0.15"/>
    <n v="1415.66"/>
    <s v="Net Banking"/>
    <x v="0"/>
    <x v="4"/>
  </r>
  <r>
    <s v="ORD10989"/>
    <d v="2024-07-18T00:00:00"/>
    <s v="Pooja Mishra"/>
    <s v="Office Supplies"/>
    <s v="Binders"/>
    <x v="22"/>
    <s v="West"/>
    <s v="Rajasthan"/>
    <n v="472.6"/>
    <n v="1"/>
    <n v="0.15"/>
    <n v="93.56"/>
    <s v="Net Banking"/>
    <x v="0"/>
    <x v="4"/>
  </r>
  <r>
    <s v="ORD10990"/>
    <d v="2024-10-17T00:00:00"/>
    <s v="Vikram Patel"/>
    <s v="Furniture"/>
    <s v="Chairs"/>
    <x v="23"/>
    <s v="East"/>
    <s v="Jharkhand"/>
    <n v="26336"/>
    <n v="5"/>
    <n v="0.2"/>
    <n v="3335.61"/>
    <s v="Debit Card"/>
    <x v="0"/>
    <x v="2"/>
  </r>
  <r>
    <s v="ORD10991"/>
    <d v="2024-11-22T00:00:00"/>
    <s v="Aditya Mehta"/>
    <s v="Office Supplies"/>
    <s v="Binders"/>
    <x v="22"/>
    <s v="East"/>
    <s v="Bihar"/>
    <n v="2641"/>
    <n v="5"/>
    <n v="0.05"/>
    <n v="435.81"/>
    <s v="Cash"/>
    <x v="0"/>
    <x v="11"/>
  </r>
  <r>
    <s v="ORD10992"/>
    <d v="2024-07-17T00:00:00"/>
    <s v="Priya Singh"/>
    <s v="Furniture"/>
    <s v="Desks"/>
    <x v="17"/>
    <s v="South"/>
    <s v="Karnataka"/>
    <n v="61288"/>
    <n v="5"/>
    <n v="0.2"/>
    <n v="11921.22"/>
    <s v="Credit Card"/>
    <x v="0"/>
    <x v="4"/>
  </r>
  <r>
    <s v="ORD10993"/>
    <d v="2024-11-27T00:00:00"/>
    <s v="Rahul Verma"/>
    <s v="Technology"/>
    <s v="Monitors"/>
    <x v="16"/>
    <s v="East"/>
    <s v="Bihar"/>
    <n v="50841.599999999999"/>
    <n v="8"/>
    <n v="0.2"/>
    <n v="8357.2099999999991"/>
    <s v="Credit Card"/>
    <x v="0"/>
    <x v="11"/>
  </r>
  <r>
    <s v="ORD10994"/>
    <d v="2025-04-28T00:00:00"/>
    <s v="Vikram Patel"/>
    <s v="Furniture"/>
    <s v="Desks"/>
    <x v="17"/>
    <s v="South"/>
    <s v="Tamil Nadu"/>
    <n v="109903.6"/>
    <n v="8"/>
    <n v="0.05"/>
    <n v="27923.07"/>
    <s v="Debit Card"/>
    <x v="1"/>
    <x v="5"/>
  </r>
  <r>
    <s v="ORD10995"/>
    <d v="2025-03-03T00:00:00"/>
    <s v="Aarav Sharma"/>
    <s v="Technology"/>
    <s v="Monitors"/>
    <x v="16"/>
    <s v="East"/>
    <s v="Bihar"/>
    <n v="147225.60000000001"/>
    <n v="6"/>
    <n v="0.2"/>
    <n v="16004.67"/>
    <s v="Cash"/>
    <x v="1"/>
    <x v="8"/>
  </r>
  <r>
    <s v="ORD10996"/>
    <d v="2025-01-17T00:00:00"/>
    <s v="Aarav Sharma"/>
    <s v="Technology"/>
    <s v="Keyboards"/>
    <x v="15"/>
    <s v="East"/>
    <s v="Odisha"/>
    <n v="11142"/>
    <n v="5"/>
    <n v="0.1"/>
    <n v="1269.74"/>
    <s v="Debit Card"/>
    <x v="1"/>
    <x v="6"/>
  </r>
  <r>
    <s v="ORD10997"/>
    <d v="2024-11-29T00:00:00"/>
    <s v="Neha Yadav"/>
    <s v="Furniture"/>
    <s v="Tables"/>
    <x v="26"/>
    <s v="East"/>
    <s v="Odisha"/>
    <n v="78216"/>
    <n v="8"/>
    <n v="0"/>
    <n v="10060.73"/>
    <s v="Net Banking"/>
    <x v="0"/>
    <x v="11"/>
  </r>
  <r>
    <s v="ORD10998"/>
    <d v="2024-12-16T00:00:00"/>
    <s v="Vikram Patel"/>
    <s v="Furniture"/>
    <s v="Chairs"/>
    <x v="5"/>
    <s v="West"/>
    <s v="Goa"/>
    <n v="65440"/>
    <n v="5"/>
    <n v="0"/>
    <n v="5969.63"/>
    <s v="Net Banking"/>
    <x v="0"/>
    <x v="3"/>
  </r>
  <r>
    <s v="ORD10999"/>
    <d v="2024-06-03T00:00:00"/>
    <s v="Pooja Mishra"/>
    <s v="Furniture"/>
    <s v="Tables"/>
    <x v="31"/>
    <s v="East"/>
    <s v="West Bengal"/>
    <n v="8221.2000000000007"/>
    <n v="3"/>
    <n v="0.15"/>
    <n v="1704.77"/>
    <s v="Debit Card"/>
    <x v="0"/>
    <x v="1"/>
  </r>
  <r>
    <s v="ORD11000"/>
    <d v="2025-12-07T00:00:00"/>
    <s v="Aarav Sharma"/>
    <s v="Office Supplies"/>
    <s v="Binders"/>
    <x v="34"/>
    <s v="North"/>
    <s v="Uttar Pradesh"/>
    <n v="11424"/>
    <n v="6"/>
    <n v="0.2"/>
    <n v="2210.11"/>
    <s v="Credit Card"/>
    <x v="1"/>
    <x v="3"/>
  </r>
  <r>
    <s v="ORD11001"/>
    <d v="2024-12-07T00:00:00"/>
    <s v="Ananya Gupta"/>
    <s v="Technology"/>
    <s v="Monitors"/>
    <x v="16"/>
    <s v="East"/>
    <s v="Jharkhand"/>
    <n v="50414.6"/>
    <n v="4"/>
    <n v="0.05"/>
    <n v="8049.23"/>
    <s v="Debit Card"/>
    <x v="0"/>
    <x v="3"/>
  </r>
  <r>
    <s v="ORD11002"/>
    <d v="2024-03-02T00:00:00"/>
    <s v="Aditya Mehta"/>
    <s v="Furniture"/>
    <s v="Cabinets"/>
    <x v="40"/>
    <s v="North"/>
    <s v="Punjab"/>
    <n v="96502"/>
    <n v="7"/>
    <n v="0"/>
    <n v="23771.81"/>
    <s v="Debit Card"/>
    <x v="0"/>
    <x v="8"/>
  </r>
  <r>
    <s v="ORD11003"/>
    <d v="2024-03-09T00:00:00"/>
    <s v="Priya Singh"/>
    <s v="Technology"/>
    <s v="Printers"/>
    <x v="33"/>
    <s v="West"/>
    <s v="Maharashtra"/>
    <n v="254313.60000000001"/>
    <n v="6"/>
    <n v="0.2"/>
    <n v="24604.97"/>
    <s v="Net Banking"/>
    <x v="0"/>
    <x v="8"/>
  </r>
  <r>
    <s v="ORD11004"/>
    <d v="2025-03-17T00:00:00"/>
    <s v="Vikram Patel"/>
    <s v="Technology"/>
    <s v="Printers"/>
    <x v="33"/>
    <s v="North"/>
    <s v="Punjab"/>
    <n v="77624"/>
    <n v="2"/>
    <n v="0"/>
    <n v="18119.23"/>
    <s v="Cash"/>
    <x v="1"/>
    <x v="8"/>
  </r>
  <r>
    <s v="ORD11005"/>
    <d v="2024-01-07T00:00:00"/>
    <s v="Pooja Mishra"/>
    <s v="Furniture"/>
    <s v="Desks"/>
    <x v="2"/>
    <s v="East"/>
    <s v="West Bengal"/>
    <n v="76336.800000000003"/>
    <n v="6"/>
    <n v="0.15"/>
    <n v="12019.04"/>
    <s v="Cash"/>
    <x v="0"/>
    <x v="6"/>
  </r>
  <r>
    <s v="ORD11006"/>
    <d v="2025-10-31T00:00:00"/>
    <s v="Ananya Gupta"/>
    <s v="Technology"/>
    <s v="Laptops"/>
    <x v="12"/>
    <s v="South"/>
    <s v="Telangana"/>
    <n v="49042.8"/>
    <n v="3"/>
    <n v="0.1"/>
    <n v="7919.08"/>
    <s v="Net Banking"/>
    <x v="1"/>
    <x v="2"/>
  </r>
  <r>
    <s v="ORD11007"/>
    <d v="2024-02-10T00:00:00"/>
    <s v="Rahul Verma"/>
    <s v="Furniture"/>
    <s v="Cabinets"/>
    <x v="40"/>
    <s v="South"/>
    <s v="Tamil Nadu"/>
    <n v="27000"/>
    <n v="4"/>
    <n v="0"/>
    <n v="5040.4799999999996"/>
    <s v="Net Banking"/>
    <x v="0"/>
    <x v="0"/>
  </r>
  <r>
    <s v="ORD11008"/>
    <d v="2024-08-26T00:00:00"/>
    <s v="Ananya Gupta"/>
    <s v="Furniture"/>
    <s v="Chairs"/>
    <x v="5"/>
    <s v="East"/>
    <s v="Bihar"/>
    <n v="36468.400000000001"/>
    <n v="4"/>
    <n v="0.15"/>
    <n v="8777.9699999999993"/>
    <s v="Debit Card"/>
    <x v="0"/>
    <x v="9"/>
  </r>
  <r>
    <s v="ORD11009"/>
    <d v="2025-02-12T00:00:00"/>
    <s v="Ananya Gupta"/>
    <s v="Technology"/>
    <s v="Smartphones"/>
    <x v="13"/>
    <s v="West"/>
    <s v="Maharashtra"/>
    <n v="30294"/>
    <n v="1"/>
    <n v="0"/>
    <n v="5130.67"/>
    <s v="Credit Card"/>
    <x v="1"/>
    <x v="0"/>
  </r>
  <r>
    <s v="ORD11010"/>
    <d v="2025-01-01T00:00:00"/>
    <s v="Sneha Joshi"/>
    <s v="Furniture"/>
    <s v="Cabinets"/>
    <x v="40"/>
    <s v="North"/>
    <s v="Delhi"/>
    <n v="13037.3"/>
    <n v="2"/>
    <n v="0.15"/>
    <n v="2485.2800000000002"/>
    <s v="Cash"/>
    <x v="1"/>
    <x v="6"/>
  </r>
  <r>
    <s v="ORD11011"/>
    <d v="2025-03-06T00:00:00"/>
    <s v="Rohan Khan"/>
    <s v="Technology"/>
    <s v="Smartphones"/>
    <x v="13"/>
    <s v="North"/>
    <s v="Haryana"/>
    <n v="172700"/>
    <n v="5"/>
    <n v="0"/>
    <n v="14066.61"/>
    <s v="UPI"/>
    <x v="1"/>
    <x v="8"/>
  </r>
  <r>
    <s v="ORD11012"/>
    <d v="2024-10-08T00:00:00"/>
    <s v="Sneha Joshi"/>
    <s v="Furniture"/>
    <s v="Bookcases"/>
    <x v="27"/>
    <s v="East"/>
    <s v="West Bengal"/>
    <n v="15159.75"/>
    <n v="5"/>
    <n v="0.15"/>
    <n v="692.35"/>
    <s v="UPI"/>
    <x v="0"/>
    <x v="2"/>
  </r>
  <r>
    <s v="ORD11013"/>
    <d v="2024-08-02T00:00:00"/>
    <s v="Vikram Patel"/>
    <s v="Technology"/>
    <s v="Smartphones"/>
    <x v="10"/>
    <s v="South"/>
    <s v="Karnataka"/>
    <n v="31167"/>
    <n v="3"/>
    <n v="0"/>
    <n v="6209.74"/>
    <s v="Debit Card"/>
    <x v="0"/>
    <x v="9"/>
  </r>
  <r>
    <s v="ORD11014"/>
    <d v="2024-04-22T00:00:00"/>
    <s v="Rahul Verma"/>
    <s v="Office Supplies"/>
    <s v="Staplers"/>
    <x v="21"/>
    <s v="South"/>
    <s v="Kerala"/>
    <n v="2052"/>
    <n v="3"/>
    <n v="0.05"/>
    <n v="288.33"/>
    <s v="UPI"/>
    <x v="0"/>
    <x v="5"/>
  </r>
  <r>
    <s v="ORD11015"/>
    <d v="2024-12-05T00:00:00"/>
    <s v="Aarav Sharma"/>
    <s v="Furniture"/>
    <s v="Desks"/>
    <x v="36"/>
    <s v="East"/>
    <s v="Jharkhand"/>
    <n v="56934"/>
    <n v="6"/>
    <n v="0"/>
    <n v="13473.65"/>
    <s v="Cash"/>
    <x v="0"/>
    <x v="3"/>
  </r>
  <r>
    <s v="ORD11016"/>
    <d v="2024-08-16T00:00:00"/>
    <s v="Priya Singh"/>
    <s v="Technology"/>
    <s v="Smartphones"/>
    <x v="1"/>
    <s v="West"/>
    <s v="Maharashtra"/>
    <n v="358197"/>
    <n v="7"/>
    <n v="0"/>
    <n v="29725.94"/>
    <s v="Cash"/>
    <x v="0"/>
    <x v="9"/>
  </r>
  <r>
    <s v="ORD11017"/>
    <d v="2024-09-20T00:00:00"/>
    <s v="Rahul Verma"/>
    <s v="Technology"/>
    <s v="Laptops"/>
    <x v="12"/>
    <s v="West"/>
    <s v="Goa"/>
    <n v="68054.399999999994"/>
    <n v="8"/>
    <n v="0.15"/>
    <n v="9282.44"/>
    <s v="Debit Card"/>
    <x v="0"/>
    <x v="10"/>
  </r>
  <r>
    <s v="ORD11018"/>
    <d v="2024-05-26T00:00:00"/>
    <s v="Ananya Gupta"/>
    <s v="Office Supplies"/>
    <s v="Storage Boxes"/>
    <x v="6"/>
    <s v="East"/>
    <s v="West Bengal"/>
    <n v="4674"/>
    <n v="8"/>
    <n v="0.05"/>
    <n v="796.67"/>
    <s v="UPI"/>
    <x v="0"/>
    <x v="7"/>
  </r>
  <r>
    <s v="ORD11019"/>
    <d v="2024-11-04T00:00:00"/>
    <s v="Sneha Joshi"/>
    <s v="Office Supplies"/>
    <s v="Paper"/>
    <x v="42"/>
    <s v="West"/>
    <s v="Rajasthan"/>
    <n v="2139.4"/>
    <n v="2"/>
    <n v="0.05"/>
    <n v="456.77"/>
    <s v="Cash"/>
    <x v="0"/>
    <x v="11"/>
  </r>
  <r>
    <s v="ORD11020"/>
    <d v="2025-01-29T00:00:00"/>
    <s v="Aarav Sharma"/>
    <s v="Office Supplies"/>
    <s v="Storage Boxes"/>
    <x v="6"/>
    <s v="East"/>
    <s v="Odisha"/>
    <n v="17311"/>
    <n v="7"/>
    <n v="0"/>
    <n v="3974.38"/>
    <s v="Credit Card"/>
    <x v="1"/>
    <x v="6"/>
  </r>
  <r>
    <s v="ORD11021"/>
    <d v="2024-12-18T00:00:00"/>
    <s v="Ananya Gupta"/>
    <s v="Technology"/>
    <s v="Laptops"/>
    <x v="44"/>
    <s v="South"/>
    <s v="Karnataka"/>
    <n v="65284.800000000003"/>
    <n v="3"/>
    <n v="0.2"/>
    <n v="8236.02"/>
    <s v="Net Banking"/>
    <x v="0"/>
    <x v="3"/>
  </r>
  <r>
    <s v="ORD11022"/>
    <d v="2025-06-10T00:00:00"/>
    <s v="Sneha Joshi"/>
    <s v="Furniture"/>
    <s v="Tables"/>
    <x v="24"/>
    <s v="South"/>
    <s v="Kerala"/>
    <n v="68458.5"/>
    <n v="5"/>
    <n v="0.1"/>
    <n v="12739.59"/>
    <s v="Debit Card"/>
    <x v="1"/>
    <x v="1"/>
  </r>
  <r>
    <s v="ORD11023"/>
    <d v="2025-01-09T00:00:00"/>
    <s v="Rohan Khan"/>
    <s v="Technology"/>
    <s v="Monitors"/>
    <x v="16"/>
    <s v="East"/>
    <s v="Jharkhand"/>
    <n v="285862.40000000002"/>
    <n v="8"/>
    <n v="0.2"/>
    <n v="23604.42"/>
    <s v="UPI"/>
    <x v="1"/>
    <x v="6"/>
  </r>
  <r>
    <s v="ORD11024"/>
    <d v="2025-03-22T00:00:00"/>
    <s v="Aditya Mehta"/>
    <s v="Office Supplies"/>
    <s v="Binders"/>
    <x v="4"/>
    <s v="North"/>
    <s v="Punjab"/>
    <n v="1110.5999999999999"/>
    <n v="2"/>
    <n v="0.1"/>
    <n v="129.28"/>
    <s v="UPI"/>
    <x v="1"/>
    <x v="8"/>
  </r>
  <r>
    <s v="ORD11025"/>
    <d v="2024-06-04T00:00:00"/>
    <s v="Pooja Mishra"/>
    <s v="Office Supplies"/>
    <s v="Binders"/>
    <x v="34"/>
    <s v="West"/>
    <s v="Gujarat"/>
    <n v="3286.8"/>
    <n v="4"/>
    <n v="0.1"/>
    <n v="526.27"/>
    <s v="Net Banking"/>
    <x v="0"/>
    <x v="1"/>
  </r>
  <r>
    <s v="ORD11026"/>
    <d v="2025-09-25T00:00:00"/>
    <s v="Ananya Gupta"/>
    <s v="Office Supplies"/>
    <s v="Paper"/>
    <x v="42"/>
    <s v="East"/>
    <s v="Odisha"/>
    <n v="1453.5"/>
    <n v="3"/>
    <n v="0.05"/>
    <n v="282.68"/>
    <s v="Credit Card"/>
    <x v="1"/>
    <x v="10"/>
  </r>
  <r>
    <s v="ORD11027"/>
    <d v="2025-03-07T00:00:00"/>
    <s v="Neha Yadav"/>
    <s v="Office Supplies"/>
    <s v="Storage Boxes"/>
    <x v="6"/>
    <s v="West"/>
    <s v="Gujarat"/>
    <n v="1116.9000000000001"/>
    <n v="1"/>
    <n v="0.15"/>
    <n v="248.72"/>
    <s v="Cash"/>
    <x v="1"/>
    <x v="8"/>
  </r>
  <r>
    <s v="ORD11028"/>
    <d v="2024-03-09T00:00:00"/>
    <s v="Aarav Sharma"/>
    <s v="Furniture"/>
    <s v="Desks"/>
    <x v="2"/>
    <s v="East"/>
    <s v="West Bengal"/>
    <n v="44040"/>
    <n v="5"/>
    <n v="0.2"/>
    <n v="6553.02"/>
    <s v="Cash"/>
    <x v="0"/>
    <x v="8"/>
  </r>
  <r>
    <s v="ORD11029"/>
    <d v="2024-09-11T00:00:00"/>
    <s v="Sneha Joshi"/>
    <s v="Technology"/>
    <s v="Smartphones"/>
    <x v="10"/>
    <s v="West"/>
    <s v="Gujarat"/>
    <n v="313749.45"/>
    <n v="7"/>
    <n v="0.15"/>
    <n v="50445.67"/>
    <s v="UPI"/>
    <x v="0"/>
    <x v="10"/>
  </r>
  <r>
    <s v="ORD11030"/>
    <d v="2024-01-12T00:00:00"/>
    <s v="Priya Singh"/>
    <s v="Technology"/>
    <s v="Monitors"/>
    <x v="20"/>
    <s v="South"/>
    <s v="Kerala"/>
    <n v="39660.300000000003"/>
    <n v="3"/>
    <n v="0.1"/>
    <n v="8214.32"/>
    <s v="Net Banking"/>
    <x v="0"/>
    <x v="6"/>
  </r>
  <r>
    <s v="ORD11031"/>
    <d v="2024-03-13T00:00:00"/>
    <s v="Sneha Joshi"/>
    <s v="Furniture"/>
    <s v="Cabinets"/>
    <x v="40"/>
    <s v="North"/>
    <s v="Uttar Pradesh"/>
    <n v="31302.400000000001"/>
    <n v="8"/>
    <n v="0.2"/>
    <n v="3783.63"/>
    <s v="Debit Card"/>
    <x v="0"/>
    <x v="8"/>
  </r>
  <r>
    <s v="ORD11032"/>
    <d v="2024-04-15T00:00:00"/>
    <s v="Priya Singh"/>
    <s v="Technology"/>
    <s v="Keyboards"/>
    <x v="3"/>
    <s v="East"/>
    <s v="West Bengal"/>
    <n v="209606.39999999999"/>
    <n v="8"/>
    <n v="0.1"/>
    <n v="20945.27"/>
    <s v="Net Banking"/>
    <x v="0"/>
    <x v="5"/>
  </r>
  <r>
    <s v="ORD11033"/>
    <d v="2024-10-09T00:00:00"/>
    <s v="Vikram Patel"/>
    <s v="Office Supplies"/>
    <s v="Pens"/>
    <x v="41"/>
    <s v="South"/>
    <s v="Kerala"/>
    <n v="3339"/>
    <n v="7"/>
    <n v="0.1"/>
    <n v="746.15"/>
    <s v="Net Banking"/>
    <x v="0"/>
    <x v="2"/>
  </r>
  <r>
    <s v="ORD11034"/>
    <d v="2025-08-28T00:00:00"/>
    <s v="Rohan Khan"/>
    <s v="Furniture"/>
    <s v="Tables"/>
    <x v="26"/>
    <s v="East"/>
    <s v="Bihar"/>
    <n v="13368"/>
    <n v="1"/>
    <n v="0.2"/>
    <n v="1724.41"/>
    <s v="Debit Card"/>
    <x v="1"/>
    <x v="9"/>
  </r>
  <r>
    <s v="ORD11035"/>
    <d v="2024-09-01T00:00:00"/>
    <s v="Sneha Joshi"/>
    <s v="Technology"/>
    <s v="Keyboards"/>
    <x v="28"/>
    <s v="West"/>
    <s v="Goa"/>
    <n v="79776"/>
    <n v="2"/>
    <n v="0"/>
    <n v="8256.39"/>
    <s v="Net Banking"/>
    <x v="0"/>
    <x v="10"/>
  </r>
  <r>
    <s v="ORD11036"/>
    <d v="2024-02-08T00:00:00"/>
    <s v="Rohan Khan"/>
    <s v="Office Supplies"/>
    <s v="Storage Boxes"/>
    <x v="18"/>
    <s v="West"/>
    <s v="Goa"/>
    <n v="1589.6"/>
    <n v="1"/>
    <n v="0.2"/>
    <n v="322.18"/>
    <s v="Cash"/>
    <x v="0"/>
    <x v="0"/>
  </r>
  <r>
    <s v="ORD11037"/>
    <d v="2024-09-16T00:00:00"/>
    <s v="Sneha Joshi"/>
    <s v="Office Supplies"/>
    <s v="Paper"/>
    <x v="0"/>
    <s v="South"/>
    <s v="Tamil Nadu"/>
    <n v="10728"/>
    <n v="6"/>
    <n v="0"/>
    <n v="2422.5100000000002"/>
    <s v="Debit Card"/>
    <x v="0"/>
    <x v="10"/>
  </r>
  <r>
    <s v="ORD11038"/>
    <d v="2025-07-14T00:00:00"/>
    <s v="Sneha Joshi"/>
    <s v="Furniture"/>
    <s v="Desks"/>
    <x v="2"/>
    <s v="East"/>
    <s v="Jharkhand"/>
    <n v="53711.1"/>
    <n v="6"/>
    <n v="0.05"/>
    <n v="9624.7900000000009"/>
    <s v="Cash"/>
    <x v="1"/>
    <x v="4"/>
  </r>
  <r>
    <s v="ORD11039"/>
    <d v="2024-04-02T00:00:00"/>
    <s v="Rohan Khan"/>
    <s v="Furniture"/>
    <s v="Desks"/>
    <x v="17"/>
    <s v="West"/>
    <s v="Maharashtra"/>
    <n v="44587.8"/>
    <n v="6"/>
    <n v="0.1"/>
    <n v="3355.66"/>
    <s v="Debit Card"/>
    <x v="0"/>
    <x v="5"/>
  </r>
  <r>
    <s v="ORD11040"/>
    <d v="2025-01-05T00:00:00"/>
    <s v="Rahul Verma"/>
    <s v="Office Supplies"/>
    <s v="Staplers"/>
    <x v="21"/>
    <s v="South"/>
    <s v="Kerala"/>
    <n v="6912"/>
    <n v="5"/>
    <n v="0.1"/>
    <n v="1494.23"/>
    <s v="Credit Card"/>
    <x v="1"/>
    <x v="6"/>
  </r>
  <r>
    <s v="ORD11041"/>
    <d v="2025-07-05T00:00:00"/>
    <s v="Rahul Verma"/>
    <s v="Furniture"/>
    <s v="Chairs"/>
    <x v="23"/>
    <s v="North"/>
    <s v="Punjab"/>
    <n v="78228"/>
    <n v="5"/>
    <n v="0.1"/>
    <n v="16142.67"/>
    <s v="Cash"/>
    <x v="1"/>
    <x v="4"/>
  </r>
  <r>
    <s v="ORD11042"/>
    <d v="2025-02-10T00:00:00"/>
    <s v="Rahul Verma"/>
    <s v="Office Supplies"/>
    <s v="Paper"/>
    <x v="0"/>
    <s v="South"/>
    <s v="Karnataka"/>
    <n v="4391.1000000000004"/>
    <n v="7"/>
    <n v="0.1"/>
    <n v="709.45"/>
    <s v="Cash"/>
    <x v="1"/>
    <x v="0"/>
  </r>
  <r>
    <s v="ORD11043"/>
    <d v="2024-10-07T00:00:00"/>
    <s v="Aarav Sharma"/>
    <s v="Technology"/>
    <s v="Monitors"/>
    <x v="20"/>
    <s v="North"/>
    <s v="Haryana"/>
    <n v="354182.40000000002"/>
    <n v="8"/>
    <n v="0.2"/>
    <n v="21605.96"/>
    <s v="Cash"/>
    <x v="0"/>
    <x v="2"/>
  </r>
  <r>
    <s v="ORD11044"/>
    <d v="2025-09-18T00:00:00"/>
    <s v="Neha Yadav"/>
    <s v="Technology"/>
    <s v="Smartphones"/>
    <x v="13"/>
    <s v="South"/>
    <s v="Tamil Nadu"/>
    <n v="40762.6"/>
    <n v="4"/>
    <n v="0.05"/>
    <n v="10615.32"/>
    <s v="Cash"/>
    <x v="1"/>
    <x v="10"/>
  </r>
  <r>
    <s v="ORD11045"/>
    <d v="2024-09-26T00:00:00"/>
    <s v="Rohan Khan"/>
    <s v="Furniture"/>
    <s v="Cabinets"/>
    <x v="40"/>
    <s v="South"/>
    <s v="Kerala"/>
    <n v="84949.2"/>
    <n v="7"/>
    <n v="0.1"/>
    <n v="18322.29"/>
    <s v="Debit Card"/>
    <x v="0"/>
    <x v="10"/>
  </r>
  <r>
    <s v="ORD11046"/>
    <d v="2025-06-03T00:00:00"/>
    <s v="Neha Yadav"/>
    <s v="Furniture"/>
    <s v="Desks"/>
    <x v="2"/>
    <s v="East"/>
    <s v="Bihar"/>
    <n v="21336"/>
    <n v="3"/>
    <n v="0.2"/>
    <n v="1189.54"/>
    <s v="Net Banking"/>
    <x v="1"/>
    <x v="1"/>
  </r>
  <r>
    <s v="ORD11047"/>
    <d v="2025-03-24T00:00:00"/>
    <s v="Neha Yadav"/>
    <s v="Furniture"/>
    <s v="Chairs"/>
    <x v="23"/>
    <s v="South"/>
    <s v="Telangana"/>
    <n v="38472"/>
    <n v="4"/>
    <n v="0"/>
    <n v="6619.02"/>
    <s v="Net Banking"/>
    <x v="1"/>
    <x v="8"/>
  </r>
  <r>
    <s v="ORD11048"/>
    <d v="2024-05-31T00:00:00"/>
    <s v="Priya Singh"/>
    <s v="Furniture"/>
    <s v="Chairs"/>
    <x v="23"/>
    <s v="South"/>
    <s v="Karnataka"/>
    <n v="18258"/>
    <n v="8"/>
    <n v="0.15"/>
    <n v="3944.01"/>
    <s v="Debit Card"/>
    <x v="0"/>
    <x v="7"/>
  </r>
  <r>
    <s v="ORD11049"/>
    <d v="2024-11-13T00:00:00"/>
    <s v="Aditya Mehta"/>
    <s v="Technology"/>
    <s v="Monitors"/>
    <x v="16"/>
    <s v="East"/>
    <s v="West Bengal"/>
    <n v="223698.4"/>
    <n v="8"/>
    <n v="0.05"/>
    <n v="44708.4"/>
    <s v="Debit Card"/>
    <x v="0"/>
    <x v="11"/>
  </r>
  <r>
    <s v="ORD11050"/>
    <d v="2024-03-13T00:00:00"/>
    <s v="Pooja Mishra"/>
    <s v="Furniture"/>
    <s v="Desks"/>
    <x v="36"/>
    <s v="West"/>
    <s v="Gujarat"/>
    <n v="5518.8"/>
    <n v="6"/>
    <n v="0.1"/>
    <n v="951.94"/>
    <s v="UPI"/>
    <x v="0"/>
    <x v="8"/>
  </r>
  <r>
    <s v="ORD11051"/>
    <d v="2024-12-05T00:00:00"/>
    <s v="Priya Singh"/>
    <s v="Office Supplies"/>
    <s v="Staplers"/>
    <x v="21"/>
    <s v="South"/>
    <s v="Tamil Nadu"/>
    <n v="561"/>
    <n v="3"/>
    <n v="0.15"/>
    <n v="105.6"/>
    <s v="UPI"/>
    <x v="0"/>
    <x v="3"/>
  </r>
  <r>
    <s v="ORD11052"/>
    <d v="2024-06-30T00:00:00"/>
    <s v="Rohan Khan"/>
    <s v="Furniture"/>
    <s v="Cabinets"/>
    <x v="38"/>
    <s v="West"/>
    <s v="Goa"/>
    <n v="96392"/>
    <n v="8"/>
    <n v="0"/>
    <n v="13710.71"/>
    <s v="Debit Card"/>
    <x v="0"/>
    <x v="1"/>
  </r>
  <r>
    <s v="ORD11053"/>
    <d v="2024-04-06T00:00:00"/>
    <s v="Aditya Mehta"/>
    <s v="Furniture"/>
    <s v="Chairs"/>
    <x v="25"/>
    <s v="South"/>
    <s v="Telangana"/>
    <n v="44308.800000000003"/>
    <n v="4"/>
    <n v="0.1"/>
    <n v="6440.08"/>
    <s v="Debit Card"/>
    <x v="0"/>
    <x v="5"/>
  </r>
  <r>
    <s v="ORD11054"/>
    <d v="2024-11-30T00:00:00"/>
    <s v="Rohan Khan"/>
    <s v="Technology"/>
    <s v="Printers"/>
    <x v="33"/>
    <s v="North"/>
    <s v="Delhi"/>
    <n v="35798.400000000001"/>
    <n v="6"/>
    <n v="0.2"/>
    <n v="1164.01"/>
    <s v="Debit Card"/>
    <x v="0"/>
    <x v="11"/>
  </r>
  <r>
    <s v="ORD11055"/>
    <d v="2024-12-19T00:00:00"/>
    <s v="Priya Singh"/>
    <s v="Technology"/>
    <s v="Printers"/>
    <x v="35"/>
    <s v="East"/>
    <s v="West Bengal"/>
    <n v="137318.39999999999"/>
    <n v="4"/>
    <n v="0.2"/>
    <n v="10116.9"/>
    <s v="Credit Card"/>
    <x v="0"/>
    <x v="3"/>
  </r>
  <r>
    <s v="ORD11056"/>
    <d v="2025-07-04T00:00:00"/>
    <s v="Priya Singh"/>
    <s v="Office Supplies"/>
    <s v="Pens"/>
    <x v="41"/>
    <s v="South"/>
    <s v="Kerala"/>
    <n v="5769"/>
    <n v="3"/>
    <n v="0"/>
    <n v="1179.28"/>
    <s v="Debit Card"/>
    <x v="1"/>
    <x v="4"/>
  </r>
  <r>
    <s v="ORD11057"/>
    <d v="2025-09-19T00:00:00"/>
    <s v="Sneha Joshi"/>
    <s v="Furniture"/>
    <s v="Chairs"/>
    <x v="23"/>
    <s v="East"/>
    <s v="Odisha"/>
    <n v="11590.95"/>
    <n v="3"/>
    <n v="0.05"/>
    <n v="2181.42"/>
    <s v="Cash"/>
    <x v="1"/>
    <x v="10"/>
  </r>
  <r>
    <s v="ORD11058"/>
    <d v="2025-05-17T00:00:00"/>
    <s v="Ananya Gupta"/>
    <s v="Office Supplies"/>
    <s v="Storage Boxes"/>
    <x v="14"/>
    <s v="West"/>
    <s v="Goa"/>
    <n v="3034.3"/>
    <n v="2"/>
    <n v="0.05"/>
    <n v="350.13"/>
    <s v="Cash"/>
    <x v="1"/>
    <x v="7"/>
  </r>
  <r>
    <s v="ORD11059"/>
    <d v="2025-07-30T00:00:00"/>
    <s v="Pooja Mishra"/>
    <s v="Technology"/>
    <s v="Monitors"/>
    <x v="16"/>
    <s v="North"/>
    <s v="Uttar Pradesh"/>
    <n v="102166.2"/>
    <n v="2"/>
    <n v="0.1"/>
    <n v="24251.54"/>
    <s v="Net Banking"/>
    <x v="1"/>
    <x v="4"/>
  </r>
  <r>
    <s v="ORD11060"/>
    <d v="2025-01-21T00:00:00"/>
    <s v="Priya Singh"/>
    <s v="Office Supplies"/>
    <s v="Staplers"/>
    <x v="7"/>
    <s v="South"/>
    <s v="Telangana"/>
    <n v="3312.45"/>
    <n v="3"/>
    <n v="0.15"/>
    <n v="408.58"/>
    <s v="Cash"/>
    <x v="1"/>
    <x v="6"/>
  </r>
  <r>
    <s v="ORD11061"/>
    <d v="2024-10-21T00:00:00"/>
    <s v="Aarav Sharma"/>
    <s v="Technology"/>
    <s v="Keyboards"/>
    <x v="3"/>
    <s v="North"/>
    <s v="Haryana"/>
    <n v="279847.2"/>
    <n v="8"/>
    <n v="0.15"/>
    <n v="67431.27"/>
    <s v="Net Banking"/>
    <x v="0"/>
    <x v="2"/>
  </r>
  <r>
    <s v="ORD11062"/>
    <d v="2024-11-06T00:00:00"/>
    <s v="Rohan Khan"/>
    <s v="Technology"/>
    <s v="Smartphones"/>
    <x v="1"/>
    <s v="North"/>
    <s v="Haryana"/>
    <n v="103689.60000000001"/>
    <n v="3"/>
    <n v="0.2"/>
    <n v="3690.58"/>
    <s v="Credit Card"/>
    <x v="0"/>
    <x v="11"/>
  </r>
  <r>
    <s v="ORD11063"/>
    <d v="2024-07-09T00:00:00"/>
    <s v="Ananya Gupta"/>
    <s v="Furniture"/>
    <s v="Cabinets"/>
    <x v="9"/>
    <s v="North"/>
    <s v="Uttar Pradesh"/>
    <n v="36910.35"/>
    <n v="3"/>
    <n v="0.05"/>
    <n v="3219.7"/>
    <s v="Debit Card"/>
    <x v="0"/>
    <x v="4"/>
  </r>
  <r>
    <s v="ORD11064"/>
    <d v="2024-01-05T00:00:00"/>
    <s v="Ananya Gupta"/>
    <s v="Technology"/>
    <s v="Smartphones"/>
    <x v="1"/>
    <s v="West"/>
    <s v="Gujarat"/>
    <n v="4164"/>
    <n v="1"/>
    <n v="0"/>
    <n v="1102.8900000000001"/>
    <s v="Debit Card"/>
    <x v="0"/>
    <x v="6"/>
  </r>
  <r>
    <s v="ORD11065"/>
    <d v="2025-03-08T00:00:00"/>
    <s v="Pooja Mishra"/>
    <s v="Technology"/>
    <s v="Keyboards"/>
    <x v="15"/>
    <s v="South"/>
    <s v="Telangana"/>
    <n v="9134.4"/>
    <n v="1"/>
    <n v="0.2"/>
    <n v="1495.36"/>
    <s v="Debit Card"/>
    <x v="1"/>
    <x v="8"/>
  </r>
  <r>
    <s v="ORD11066"/>
    <d v="2024-01-11T00:00:00"/>
    <s v="Rohan Khan"/>
    <s v="Technology"/>
    <s v="Monitors"/>
    <x v="11"/>
    <s v="West"/>
    <s v="Maharashtra"/>
    <n v="154194.25"/>
    <n v="7"/>
    <n v="0.15"/>
    <n v="14368.61"/>
    <s v="UPI"/>
    <x v="0"/>
    <x v="6"/>
  </r>
  <r>
    <s v="ORD11067"/>
    <d v="2024-12-01T00:00:00"/>
    <s v="Rahul Verma"/>
    <s v="Office Supplies"/>
    <s v="Staplers"/>
    <x v="21"/>
    <s v="South"/>
    <s v="Tamil Nadu"/>
    <n v="4202"/>
    <n v="2"/>
    <n v="0"/>
    <n v="490.25"/>
    <s v="Debit Card"/>
    <x v="0"/>
    <x v="3"/>
  </r>
  <r>
    <s v="ORD11068"/>
    <d v="2025-07-22T00:00:00"/>
    <s v="Neha Yadav"/>
    <s v="Office Supplies"/>
    <s v="Staplers"/>
    <x v="7"/>
    <s v="East"/>
    <s v="Bihar"/>
    <n v="8155.75"/>
    <n v="5"/>
    <n v="0.05"/>
    <n v="2100.4499999999998"/>
    <s v="Credit Card"/>
    <x v="1"/>
    <x v="4"/>
  </r>
  <r>
    <s v="ORD11069"/>
    <d v="2025-12-11T00:00:00"/>
    <s v="Priya Singh"/>
    <s v="Technology"/>
    <s v="Printers"/>
    <x v="39"/>
    <s v="North"/>
    <s v="Uttar Pradesh"/>
    <n v="14451.7"/>
    <n v="2"/>
    <n v="0.15"/>
    <n v="1147.4000000000001"/>
    <s v="Credit Card"/>
    <x v="1"/>
    <x v="3"/>
  </r>
  <r>
    <s v="ORD11070"/>
    <d v="2024-11-21T00:00:00"/>
    <s v="Aarav Sharma"/>
    <s v="Furniture"/>
    <s v="Cabinets"/>
    <x v="9"/>
    <s v="East"/>
    <s v="Jharkhand"/>
    <n v="6113.25"/>
    <n v="3"/>
    <n v="0.05"/>
    <n v="1352.31"/>
    <s v="Net Banking"/>
    <x v="0"/>
    <x v="11"/>
  </r>
  <r>
    <s v="ORD11071"/>
    <d v="2024-10-25T00:00:00"/>
    <s v="Aditya Mehta"/>
    <s v="Technology"/>
    <s v="Smartphones"/>
    <x v="10"/>
    <s v="East"/>
    <s v="Bihar"/>
    <n v="160542.9"/>
    <n v="6"/>
    <n v="0.15"/>
    <n v="19025.439999999999"/>
    <s v="UPI"/>
    <x v="0"/>
    <x v="2"/>
  </r>
  <r>
    <s v="ORD11072"/>
    <d v="2024-10-21T00:00:00"/>
    <s v="Aditya Mehta"/>
    <s v="Technology"/>
    <s v="Smartphones"/>
    <x v="1"/>
    <s v="South"/>
    <s v="Telangana"/>
    <n v="21720.799999999999"/>
    <n v="8"/>
    <n v="0.05"/>
    <n v="4079.86"/>
    <s v="Credit Card"/>
    <x v="0"/>
    <x v="2"/>
  </r>
  <r>
    <s v="ORD11073"/>
    <d v="2024-06-22T00:00:00"/>
    <s v="Sneha Joshi"/>
    <s v="Technology"/>
    <s v="Printers"/>
    <x v="35"/>
    <s v="East"/>
    <s v="West Bengal"/>
    <n v="56128"/>
    <n v="2"/>
    <n v="0"/>
    <n v="11434.24"/>
    <s v="Debit Card"/>
    <x v="0"/>
    <x v="1"/>
  </r>
  <r>
    <s v="ORD11074"/>
    <d v="2024-08-17T00:00:00"/>
    <s v="Aarav Sharma"/>
    <s v="Technology"/>
    <s v="Smartphones"/>
    <x v="10"/>
    <s v="North"/>
    <s v="Punjab"/>
    <n v="7974.4"/>
    <n v="7"/>
    <n v="0.2"/>
    <n v="430.05"/>
    <s v="Net Banking"/>
    <x v="0"/>
    <x v="9"/>
  </r>
  <r>
    <s v="ORD11075"/>
    <d v="2025-09-19T00:00:00"/>
    <s v="Vikram Patel"/>
    <s v="Office Supplies"/>
    <s v="Paper"/>
    <x v="42"/>
    <s v="North"/>
    <s v="Uttar Pradesh"/>
    <n v="12907.65"/>
    <n v="7"/>
    <n v="0.05"/>
    <n v="2634.14"/>
    <s v="Debit Card"/>
    <x v="1"/>
    <x v="10"/>
  </r>
  <r>
    <s v="ORD11076"/>
    <d v="2025-02-01T00:00:00"/>
    <s v="Vikram Patel"/>
    <s v="Office Supplies"/>
    <s v="Staplers"/>
    <x v="7"/>
    <s v="West"/>
    <s v="Gujarat"/>
    <n v="7261.8"/>
    <n v="6"/>
    <n v="0.05"/>
    <n v="1888.85"/>
    <s v="Credit Card"/>
    <x v="1"/>
    <x v="0"/>
  </r>
  <r>
    <s v="ORD11077"/>
    <d v="2024-05-08T00:00:00"/>
    <s v="Sneha Joshi"/>
    <s v="Furniture"/>
    <s v="Chairs"/>
    <x v="5"/>
    <s v="West"/>
    <s v="Rajasthan"/>
    <n v="13534.65"/>
    <n v="1"/>
    <n v="0.05"/>
    <n v="3586.65"/>
    <s v="Credit Card"/>
    <x v="0"/>
    <x v="7"/>
  </r>
  <r>
    <s v="ORD11078"/>
    <d v="2025-11-12T00:00:00"/>
    <s v="Rohan Khan"/>
    <s v="Furniture"/>
    <s v="Tables"/>
    <x v="24"/>
    <s v="West"/>
    <s v="Goa"/>
    <n v="97401.600000000006"/>
    <n v="8"/>
    <n v="0.1"/>
    <n v="11937.57"/>
    <s v="Credit Card"/>
    <x v="1"/>
    <x v="11"/>
  </r>
  <r>
    <s v="ORD11079"/>
    <d v="2025-02-22T00:00:00"/>
    <s v="Sneha Joshi"/>
    <s v="Office Supplies"/>
    <s v="Storage Boxes"/>
    <x v="14"/>
    <s v="South"/>
    <s v="Tamil Nadu"/>
    <n v="5399.2"/>
    <n v="4"/>
    <n v="0.15"/>
    <n v="821.44"/>
    <s v="Debit Card"/>
    <x v="1"/>
    <x v="0"/>
  </r>
  <r>
    <s v="ORD11080"/>
    <d v="2025-07-18T00:00:00"/>
    <s v="Rahul Verma"/>
    <s v="Technology"/>
    <s v="Keyboards"/>
    <x v="28"/>
    <s v="South"/>
    <s v="Kerala"/>
    <n v="158695.6"/>
    <n v="8"/>
    <n v="0.05"/>
    <n v="17605"/>
    <s v="Cash"/>
    <x v="1"/>
    <x v="4"/>
  </r>
  <r>
    <s v="ORD11081"/>
    <d v="2025-10-18T00:00:00"/>
    <s v="Rohan Khan"/>
    <s v="Office Supplies"/>
    <s v="Staplers"/>
    <x v="21"/>
    <s v="South"/>
    <s v="Kerala"/>
    <n v="3900.8"/>
    <n v="4"/>
    <n v="0.2"/>
    <n v="717.15"/>
    <s v="Net Banking"/>
    <x v="1"/>
    <x v="2"/>
  </r>
  <r>
    <s v="ORD11082"/>
    <d v="2025-09-19T00:00:00"/>
    <s v="Aditya Mehta"/>
    <s v="Technology"/>
    <s v="Smartphones"/>
    <x v="13"/>
    <s v="West"/>
    <s v="Rajasthan"/>
    <n v="209113.2"/>
    <n v="4"/>
    <n v="0.1"/>
    <n v="37028.01"/>
    <s v="UPI"/>
    <x v="1"/>
    <x v="10"/>
  </r>
  <r>
    <s v="ORD11083"/>
    <d v="2024-12-31T00:00:00"/>
    <s v="Ananya Gupta"/>
    <s v="Office Supplies"/>
    <s v="Paper"/>
    <x v="0"/>
    <s v="North"/>
    <s v="Delhi"/>
    <n v="1457"/>
    <n v="1"/>
    <n v="0"/>
    <n v="207.85"/>
    <s v="Credit Card"/>
    <x v="0"/>
    <x v="3"/>
  </r>
  <r>
    <s v="ORD11084"/>
    <d v="2024-10-23T00:00:00"/>
    <s v="Vikram Patel"/>
    <s v="Technology"/>
    <s v="Monitors"/>
    <x v="16"/>
    <s v="North"/>
    <s v="Haryana"/>
    <n v="212954.4"/>
    <n v="6"/>
    <n v="0.1"/>
    <n v="41679.57"/>
    <s v="UPI"/>
    <x v="0"/>
    <x v="2"/>
  </r>
  <r>
    <s v="ORD11085"/>
    <d v="2025-04-25T00:00:00"/>
    <s v="Vikram Patel"/>
    <s v="Office Supplies"/>
    <s v="Binders"/>
    <x v="4"/>
    <s v="South"/>
    <s v="Tamil Nadu"/>
    <n v="1196.8"/>
    <n v="2"/>
    <n v="0.2"/>
    <n v="168.11"/>
    <s v="Credit Card"/>
    <x v="1"/>
    <x v="5"/>
  </r>
  <r>
    <s v="ORD11086"/>
    <d v="2024-01-21T00:00:00"/>
    <s v="Pooja Mishra"/>
    <s v="Technology"/>
    <s v="Smartphones"/>
    <x v="10"/>
    <s v="West"/>
    <s v="Maharashtra"/>
    <n v="150159.29999999999"/>
    <n v="3"/>
    <n v="0.15"/>
    <n v="20703.36"/>
    <s v="Debit Card"/>
    <x v="0"/>
    <x v="6"/>
  </r>
  <r>
    <s v="ORD11087"/>
    <d v="2024-03-11T00:00:00"/>
    <s v="Rahul Verma"/>
    <s v="Furniture"/>
    <s v="Cabinets"/>
    <x v="40"/>
    <s v="South"/>
    <s v="Kerala"/>
    <n v="96528"/>
    <n v="8"/>
    <n v="0"/>
    <n v="24836.47"/>
    <s v="Credit Card"/>
    <x v="0"/>
    <x v="8"/>
  </r>
  <r>
    <s v="ORD11088"/>
    <d v="2025-05-21T00:00:00"/>
    <s v="Aarav Sharma"/>
    <s v="Office Supplies"/>
    <s v="Pens"/>
    <x v="30"/>
    <s v="West"/>
    <s v="Gujarat"/>
    <n v="5188"/>
    <n v="4"/>
    <n v="0"/>
    <n v="783.09"/>
    <s v="Net Banking"/>
    <x v="1"/>
    <x v="7"/>
  </r>
  <r>
    <s v="ORD11089"/>
    <d v="2024-06-19T00:00:00"/>
    <s v="Aarav Sharma"/>
    <s v="Office Supplies"/>
    <s v="Staplers"/>
    <x v="7"/>
    <s v="South"/>
    <s v="Telangana"/>
    <n v="8924"/>
    <n v="4"/>
    <n v="0"/>
    <n v="1587.77"/>
    <s v="Credit Card"/>
    <x v="0"/>
    <x v="1"/>
  </r>
  <r>
    <s v="ORD11090"/>
    <d v="2024-02-02T00:00:00"/>
    <s v="Rahul Verma"/>
    <s v="Office Supplies"/>
    <s v="Pens"/>
    <x v="8"/>
    <s v="East"/>
    <s v="Jharkhand"/>
    <n v="11856"/>
    <n v="6"/>
    <n v="0"/>
    <n v="1737.9"/>
    <s v="Net Banking"/>
    <x v="0"/>
    <x v="0"/>
  </r>
  <r>
    <s v="ORD11091"/>
    <d v="2025-11-19T00:00:00"/>
    <s v="Vikram Patel"/>
    <s v="Technology"/>
    <s v="Printers"/>
    <x v="39"/>
    <s v="North"/>
    <s v="Haryana"/>
    <n v="205628.6"/>
    <n v="4"/>
    <n v="0.15"/>
    <n v="10219.049999999999"/>
    <s v="Cash"/>
    <x v="1"/>
    <x v="11"/>
  </r>
  <r>
    <s v="ORD11092"/>
    <d v="2024-10-15T00:00:00"/>
    <s v="Vikram Patel"/>
    <s v="Furniture"/>
    <s v="Bookcases"/>
    <x v="32"/>
    <s v="West"/>
    <s v="Goa"/>
    <n v="58296"/>
    <n v="6"/>
    <n v="0.2"/>
    <n v="3997.98"/>
    <s v="UPI"/>
    <x v="0"/>
    <x v="2"/>
  </r>
  <r>
    <s v="ORD11093"/>
    <d v="2024-03-07T00:00:00"/>
    <s v="Rahul Verma"/>
    <s v="Furniture"/>
    <s v="Chairs"/>
    <x v="5"/>
    <s v="East"/>
    <s v="West Bengal"/>
    <n v="12921"/>
    <n v="3"/>
    <n v="0"/>
    <n v="1491.36"/>
    <s v="Net Banking"/>
    <x v="0"/>
    <x v="8"/>
  </r>
  <r>
    <s v="ORD11094"/>
    <d v="2025-04-16T00:00:00"/>
    <s v="Sneha Joshi"/>
    <s v="Technology"/>
    <s v="Laptops"/>
    <x v="43"/>
    <s v="North"/>
    <s v="Delhi"/>
    <n v="46993.65"/>
    <n v="1"/>
    <n v="0.05"/>
    <n v="8649.23"/>
    <s v="UPI"/>
    <x v="1"/>
    <x v="5"/>
  </r>
  <r>
    <s v="ORD11095"/>
    <d v="2025-12-03T00:00:00"/>
    <s v="Ananya Gupta"/>
    <s v="Office Supplies"/>
    <s v="Paper"/>
    <x v="0"/>
    <s v="North"/>
    <s v="Punjab"/>
    <n v="950"/>
    <n v="2"/>
    <n v="0"/>
    <n v="158.26"/>
    <s v="Credit Card"/>
    <x v="1"/>
    <x v="3"/>
  </r>
  <r>
    <s v="ORD11096"/>
    <d v="2025-04-25T00:00:00"/>
    <s v="Vikram Patel"/>
    <s v="Technology"/>
    <s v="Laptops"/>
    <x v="43"/>
    <s v="West"/>
    <s v="Rajasthan"/>
    <n v="103673.60000000001"/>
    <n v="4"/>
    <n v="0.2"/>
    <n v="17754.599999999999"/>
    <s v="Net Banking"/>
    <x v="1"/>
    <x v="5"/>
  </r>
  <r>
    <s v="ORD11097"/>
    <d v="2024-07-12T00:00:00"/>
    <s v="Priya Singh"/>
    <s v="Technology"/>
    <s v="Keyboards"/>
    <x v="28"/>
    <s v="South"/>
    <s v="Karnataka"/>
    <n v="33976.800000000003"/>
    <n v="3"/>
    <n v="0.2"/>
    <n v="4929.59"/>
    <s v="UPI"/>
    <x v="0"/>
    <x v="4"/>
  </r>
  <r>
    <s v="ORD11098"/>
    <d v="2024-08-11T00:00:00"/>
    <s v="Rohan Khan"/>
    <s v="Technology"/>
    <s v="Smartphones"/>
    <x v="10"/>
    <s v="East"/>
    <s v="Odisha"/>
    <n v="239870.4"/>
    <n v="7"/>
    <n v="0.2"/>
    <n v="37928.07"/>
    <s v="Debit Card"/>
    <x v="0"/>
    <x v="9"/>
  </r>
  <r>
    <s v="ORD11099"/>
    <d v="2024-03-02T00:00:00"/>
    <s v="Pooja Mishra"/>
    <s v="Furniture"/>
    <s v="Desks"/>
    <x v="17"/>
    <s v="North"/>
    <s v="Haryana"/>
    <n v="7188.45"/>
    <n v="3"/>
    <n v="0.15"/>
    <n v="800.4"/>
    <s v="Cash"/>
    <x v="0"/>
    <x v="8"/>
  </r>
  <r>
    <s v="ORD11100"/>
    <d v="2024-11-22T00:00:00"/>
    <s v="Neha Yadav"/>
    <s v="Technology"/>
    <s v="Keyboards"/>
    <x v="15"/>
    <s v="North"/>
    <s v="Delhi"/>
    <n v="253524.6"/>
    <n v="6"/>
    <n v="0.1"/>
    <n v="50813.88"/>
    <s v="Debit Card"/>
    <x v="0"/>
    <x v="11"/>
  </r>
  <r>
    <s v="ORD11101"/>
    <d v="2025-12-08T00:00:00"/>
    <s v="Sneha Joshi"/>
    <s v="Office Supplies"/>
    <s v="Staplers"/>
    <x v="7"/>
    <s v="East"/>
    <s v="Jharkhand"/>
    <n v="6617.6"/>
    <n v="8"/>
    <n v="0.2"/>
    <n v="424.26"/>
    <s v="Cash"/>
    <x v="1"/>
    <x v="3"/>
  </r>
  <r>
    <s v="ORD11102"/>
    <d v="2024-01-26T00:00:00"/>
    <s v="Rahul Verma"/>
    <s v="Furniture"/>
    <s v="Tables"/>
    <x v="31"/>
    <s v="East"/>
    <s v="Jharkhand"/>
    <n v="39460.400000000001"/>
    <n v="8"/>
    <n v="0.15"/>
    <n v="4988.5600000000004"/>
    <s v="Debit Card"/>
    <x v="0"/>
    <x v="6"/>
  </r>
  <r>
    <s v="ORD11103"/>
    <d v="2024-08-10T00:00:00"/>
    <s v="Priya Singh"/>
    <s v="Furniture"/>
    <s v="Desks"/>
    <x v="2"/>
    <s v="West"/>
    <s v="Rajasthan"/>
    <n v="36181.599999999999"/>
    <n v="7"/>
    <n v="0.2"/>
    <n v="7931.32"/>
    <s v="UPI"/>
    <x v="0"/>
    <x v="9"/>
  </r>
  <r>
    <s v="ORD11104"/>
    <d v="2025-07-16T00:00:00"/>
    <s v="Vikram Patel"/>
    <s v="Furniture"/>
    <s v="Tables"/>
    <x v="31"/>
    <s v="South"/>
    <s v="Telangana"/>
    <n v="64964.800000000003"/>
    <n v="4"/>
    <n v="0.05"/>
    <n v="8328.77"/>
    <s v="Credit Card"/>
    <x v="1"/>
    <x v="4"/>
  </r>
  <r>
    <s v="ORD11105"/>
    <d v="2024-11-27T00:00:00"/>
    <s v="Neha Yadav"/>
    <s v="Technology"/>
    <s v="Keyboards"/>
    <x v="15"/>
    <s v="West"/>
    <s v="Goa"/>
    <n v="99414"/>
    <n v="3"/>
    <n v="0"/>
    <n v="9283.4"/>
    <s v="Net Banking"/>
    <x v="0"/>
    <x v="11"/>
  </r>
  <r>
    <s v="ORD11106"/>
    <d v="2024-11-14T00:00:00"/>
    <s v="Pooja Mishra"/>
    <s v="Furniture"/>
    <s v="Desks"/>
    <x v="2"/>
    <s v="South"/>
    <s v="Kerala"/>
    <n v="8139.6"/>
    <n v="7"/>
    <n v="0.05"/>
    <n v="1100.5999999999999"/>
    <s v="Cash"/>
    <x v="0"/>
    <x v="11"/>
  </r>
  <r>
    <s v="ORD11107"/>
    <d v="2024-03-05T00:00:00"/>
    <s v="Aarav Sharma"/>
    <s v="Office Supplies"/>
    <s v="Paper"/>
    <x v="37"/>
    <s v="South"/>
    <s v="Telangana"/>
    <n v="7742.4"/>
    <n v="6"/>
    <n v="0.2"/>
    <n v="1734.96"/>
    <s v="Cash"/>
    <x v="0"/>
    <x v="8"/>
  </r>
  <r>
    <s v="ORD11108"/>
    <d v="2025-08-14T00:00:00"/>
    <s v="Sneha Joshi"/>
    <s v="Furniture"/>
    <s v="Tables"/>
    <x v="31"/>
    <s v="South"/>
    <s v="Tamil Nadu"/>
    <n v="39747.599999999999"/>
    <n v="4"/>
    <n v="0.1"/>
    <n v="6598.07"/>
    <s v="Credit Card"/>
    <x v="1"/>
    <x v="9"/>
  </r>
  <r>
    <s v="ORD11109"/>
    <d v="2024-04-07T00:00:00"/>
    <s v="Rohan Khan"/>
    <s v="Technology"/>
    <s v="Monitors"/>
    <x v="20"/>
    <s v="South"/>
    <s v="Tamil Nadu"/>
    <n v="274435.20000000001"/>
    <n v="8"/>
    <n v="0.1"/>
    <n v="43139.040000000001"/>
    <s v="Credit Card"/>
    <x v="0"/>
    <x v="5"/>
  </r>
  <r>
    <s v="ORD11110"/>
    <d v="2024-10-09T00:00:00"/>
    <s v="Rahul Verma"/>
    <s v="Office Supplies"/>
    <s v="Pens"/>
    <x v="8"/>
    <s v="North"/>
    <s v="Uttar Pradesh"/>
    <n v="8051.25"/>
    <n v="5"/>
    <n v="0.05"/>
    <n v="1817.62"/>
    <s v="Debit Card"/>
    <x v="0"/>
    <x v="2"/>
  </r>
  <r>
    <s v="ORD11111"/>
    <d v="2024-10-06T00:00:00"/>
    <s v="Sneha Joshi"/>
    <s v="Technology"/>
    <s v="Keyboards"/>
    <x v="3"/>
    <s v="South"/>
    <s v="Tamil Nadu"/>
    <n v="18115.2"/>
    <n v="1"/>
    <n v="0.2"/>
    <n v="1072.8599999999999"/>
    <s v="Cash"/>
    <x v="0"/>
    <x v="2"/>
  </r>
  <r>
    <s v="ORD11112"/>
    <d v="2024-10-16T00:00:00"/>
    <s v="Ananya Gupta"/>
    <s v="Furniture"/>
    <s v="Cabinets"/>
    <x v="9"/>
    <s v="South"/>
    <s v="Tamil Nadu"/>
    <n v="4454.3999999999996"/>
    <n v="2"/>
    <n v="0.2"/>
    <n v="845.31"/>
    <s v="Cash"/>
    <x v="0"/>
    <x v="2"/>
  </r>
  <r>
    <s v="ORD11113"/>
    <d v="2025-04-21T00:00:00"/>
    <s v="Rahul Verma"/>
    <s v="Furniture"/>
    <s v="Chairs"/>
    <x v="5"/>
    <s v="East"/>
    <s v="Bihar"/>
    <n v="4151.3999999999996"/>
    <n v="3"/>
    <n v="0.15"/>
    <n v="241.79"/>
    <s v="Cash"/>
    <x v="1"/>
    <x v="5"/>
  </r>
  <r>
    <s v="ORD11114"/>
    <d v="2025-09-13T00:00:00"/>
    <s v="Neha Yadav"/>
    <s v="Office Supplies"/>
    <s v="Staplers"/>
    <x v="7"/>
    <s v="South"/>
    <s v="Kerala"/>
    <n v="3540.6"/>
    <n v="2"/>
    <n v="0.1"/>
    <n v="334.79"/>
    <s v="Debit Card"/>
    <x v="1"/>
    <x v="10"/>
  </r>
  <r>
    <s v="ORD11115"/>
    <d v="2024-11-18T00:00:00"/>
    <s v="Rohan Khan"/>
    <s v="Technology"/>
    <s v="Printers"/>
    <x v="35"/>
    <s v="South"/>
    <s v="Telangana"/>
    <n v="7879.5"/>
    <n v="2"/>
    <n v="0.15"/>
    <n v="916.11"/>
    <s v="Net Banking"/>
    <x v="0"/>
    <x v="11"/>
  </r>
  <r>
    <s v="ORD11116"/>
    <d v="2025-08-05T00:00:00"/>
    <s v="Aarav Sharma"/>
    <s v="Technology"/>
    <s v="Keyboards"/>
    <x v="28"/>
    <s v="East"/>
    <s v="Jharkhand"/>
    <n v="223441.2"/>
    <n v="6"/>
    <n v="0.1"/>
    <n v="37565.69"/>
    <s v="Net Banking"/>
    <x v="1"/>
    <x v="9"/>
  </r>
  <r>
    <s v="ORD11117"/>
    <d v="2024-08-28T00:00:00"/>
    <s v="Priya Singh"/>
    <s v="Technology"/>
    <s v="Smartphones"/>
    <x v="10"/>
    <s v="West"/>
    <s v="Maharashtra"/>
    <n v="31729.05"/>
    <n v="3"/>
    <n v="0.05"/>
    <n v="8107.55"/>
    <s v="Debit Card"/>
    <x v="0"/>
    <x v="9"/>
  </r>
  <r>
    <s v="ORD11118"/>
    <d v="2025-10-19T00:00:00"/>
    <s v="Rohan Khan"/>
    <s v="Furniture"/>
    <s v="Bookcases"/>
    <x v="27"/>
    <s v="North"/>
    <s v="Uttar Pradesh"/>
    <n v="27850"/>
    <n v="2"/>
    <n v="0"/>
    <n v="5150.46"/>
    <s v="Credit Card"/>
    <x v="1"/>
    <x v="2"/>
  </r>
  <r>
    <s v="ORD11119"/>
    <d v="2025-11-30T00:00:00"/>
    <s v="Aditya Mehta"/>
    <s v="Office Supplies"/>
    <s v="Paper"/>
    <x v="0"/>
    <s v="South"/>
    <s v="Kerala"/>
    <n v="1958.9"/>
    <n v="2"/>
    <n v="0.05"/>
    <n v="154.37"/>
    <s v="UPI"/>
    <x v="1"/>
    <x v="11"/>
  </r>
  <r>
    <s v="ORD11120"/>
    <d v="2024-11-26T00:00:00"/>
    <s v="Rohan Khan"/>
    <s v="Technology"/>
    <s v="Smartphones"/>
    <x v="10"/>
    <s v="West"/>
    <s v="Maharashtra"/>
    <n v="193458"/>
    <n v="4"/>
    <n v="0.05"/>
    <n v="32426.81"/>
    <s v="Cash"/>
    <x v="0"/>
    <x v="11"/>
  </r>
  <r>
    <s v="ORD11121"/>
    <d v="2024-08-01T00:00:00"/>
    <s v="Ananya Gupta"/>
    <s v="Technology"/>
    <s v="Printers"/>
    <x v="35"/>
    <s v="East"/>
    <s v="Jharkhand"/>
    <n v="247685.9"/>
    <n v="7"/>
    <n v="0.05"/>
    <n v="45929.32"/>
    <s v="Net Banking"/>
    <x v="0"/>
    <x v="9"/>
  </r>
  <r>
    <s v="ORD11122"/>
    <d v="2024-01-08T00:00:00"/>
    <s v="Pooja Mishra"/>
    <s v="Furniture"/>
    <s v="Chairs"/>
    <x v="23"/>
    <s v="East"/>
    <s v="West Bengal"/>
    <n v="35220.300000000003"/>
    <n v="6"/>
    <n v="0.05"/>
    <n v="3449.87"/>
    <s v="Debit Card"/>
    <x v="0"/>
    <x v="6"/>
  </r>
  <r>
    <s v="ORD11123"/>
    <d v="2024-09-23T00:00:00"/>
    <s v="Rohan Khan"/>
    <s v="Furniture"/>
    <s v="Cabinets"/>
    <x v="40"/>
    <s v="East"/>
    <s v="Jharkhand"/>
    <n v="34948.6"/>
    <n v="4"/>
    <n v="0.05"/>
    <n v="4645.07"/>
    <s v="UPI"/>
    <x v="0"/>
    <x v="10"/>
  </r>
  <r>
    <s v="ORD11124"/>
    <d v="2024-04-19T00:00:00"/>
    <s v="Ananya Gupta"/>
    <s v="Office Supplies"/>
    <s v="Pens"/>
    <x v="8"/>
    <s v="West"/>
    <s v="Maharashtra"/>
    <n v="3927"/>
    <n v="7"/>
    <n v="0"/>
    <n v="618.46"/>
    <s v="Credit Card"/>
    <x v="0"/>
    <x v="5"/>
  </r>
  <r>
    <s v="ORD11125"/>
    <d v="2024-01-25T00:00:00"/>
    <s v="Vikram Patel"/>
    <s v="Office Supplies"/>
    <s v="Pens"/>
    <x v="8"/>
    <s v="South"/>
    <s v="Telangana"/>
    <n v="17431.2"/>
    <n v="8"/>
    <n v="0.1"/>
    <n v="1714.55"/>
    <s v="UPI"/>
    <x v="0"/>
    <x v="6"/>
  </r>
  <r>
    <s v="ORD11126"/>
    <d v="2024-06-18T00:00:00"/>
    <s v="Neha Yadav"/>
    <s v="Technology"/>
    <s v="Smartphones"/>
    <x v="13"/>
    <s v="East"/>
    <s v="Odisha"/>
    <n v="287878.84999999998"/>
    <n v="7"/>
    <n v="0.15"/>
    <n v="46884.7"/>
    <s v="Cash"/>
    <x v="0"/>
    <x v="1"/>
  </r>
  <r>
    <s v="ORD11127"/>
    <d v="2024-01-12T00:00:00"/>
    <s v="Vikram Patel"/>
    <s v="Office Supplies"/>
    <s v="Storage Boxes"/>
    <x v="14"/>
    <s v="East"/>
    <s v="Odisha"/>
    <n v="363.2"/>
    <n v="2"/>
    <n v="0.2"/>
    <n v="14.53"/>
    <s v="UPI"/>
    <x v="0"/>
    <x v="6"/>
  </r>
  <r>
    <s v="ORD11128"/>
    <d v="2025-01-16T00:00:00"/>
    <s v="Priya Singh"/>
    <s v="Furniture"/>
    <s v="Tables"/>
    <x v="26"/>
    <s v="West"/>
    <s v="Gujarat"/>
    <n v="6676.75"/>
    <n v="1"/>
    <n v="0.15"/>
    <n v="1274.3900000000001"/>
    <s v="Debit Card"/>
    <x v="1"/>
    <x v="6"/>
  </r>
  <r>
    <s v="ORD11129"/>
    <d v="2025-10-13T00:00:00"/>
    <s v="Aarav Sharma"/>
    <s v="Furniture"/>
    <s v="Chairs"/>
    <x v="5"/>
    <s v="East"/>
    <s v="West Bengal"/>
    <n v="44688"/>
    <n v="5"/>
    <n v="0.05"/>
    <n v="4091.86"/>
    <s v="Cash"/>
    <x v="1"/>
    <x v="2"/>
  </r>
  <r>
    <s v="ORD11130"/>
    <d v="2025-05-06T00:00:00"/>
    <s v="Priya Singh"/>
    <s v="Technology"/>
    <s v="Laptops"/>
    <x v="43"/>
    <s v="North"/>
    <s v="Delhi"/>
    <n v="124136"/>
    <n v="4"/>
    <n v="0"/>
    <n v="27381.34"/>
    <s v="Credit Card"/>
    <x v="1"/>
    <x v="7"/>
  </r>
  <r>
    <s v="ORD11131"/>
    <d v="2024-01-14T00:00:00"/>
    <s v="Pooja Mishra"/>
    <s v="Technology"/>
    <s v="Laptops"/>
    <x v="44"/>
    <s v="West"/>
    <s v="Goa"/>
    <n v="28729.15"/>
    <n v="1"/>
    <n v="0.15"/>
    <n v="2226.64"/>
    <s v="UPI"/>
    <x v="0"/>
    <x v="6"/>
  </r>
  <r>
    <s v="ORD11132"/>
    <d v="2024-07-11T00:00:00"/>
    <s v="Ananya Gupta"/>
    <s v="Office Supplies"/>
    <s v="Paper"/>
    <x v="42"/>
    <s v="East"/>
    <s v="Bihar"/>
    <n v="1432.8"/>
    <n v="8"/>
    <n v="0.1"/>
    <n v="354.82"/>
    <s v="Cash"/>
    <x v="0"/>
    <x v="4"/>
  </r>
  <r>
    <s v="ORD11133"/>
    <d v="2025-04-28T00:00:00"/>
    <s v="Aditya Mehta"/>
    <s v="Technology"/>
    <s v="Laptops"/>
    <x v="44"/>
    <s v="West"/>
    <s v="Goa"/>
    <n v="15981.6"/>
    <n v="1"/>
    <n v="0.2"/>
    <n v="1653.45"/>
    <s v="Credit Card"/>
    <x v="1"/>
    <x v="5"/>
  </r>
  <r>
    <s v="ORD11134"/>
    <d v="2024-12-21T00:00:00"/>
    <s v="Vikram Patel"/>
    <s v="Furniture"/>
    <s v="Bookcases"/>
    <x v="32"/>
    <s v="South"/>
    <s v="Telangana"/>
    <n v="33150"/>
    <n v="6"/>
    <n v="0.15"/>
    <n v="3875.96"/>
    <s v="Credit Card"/>
    <x v="0"/>
    <x v="3"/>
  </r>
  <r>
    <s v="ORD11135"/>
    <d v="2025-10-22T00:00:00"/>
    <s v="Neha Yadav"/>
    <s v="Office Supplies"/>
    <s v="Staplers"/>
    <x v="7"/>
    <s v="West"/>
    <s v="Rajasthan"/>
    <n v="1193.4000000000001"/>
    <n v="2"/>
    <n v="0.1"/>
    <n v="286.35000000000002"/>
    <s v="Cash"/>
    <x v="1"/>
    <x v="2"/>
  </r>
  <r>
    <s v="ORD11136"/>
    <d v="2025-08-10T00:00:00"/>
    <s v="Rahul Verma"/>
    <s v="Office Supplies"/>
    <s v="Binders"/>
    <x v="22"/>
    <s v="North"/>
    <s v="Haryana"/>
    <n v="6589.2"/>
    <n v="3"/>
    <n v="0.05"/>
    <n v="1566.38"/>
    <s v="Credit Card"/>
    <x v="1"/>
    <x v="9"/>
  </r>
  <r>
    <s v="ORD11137"/>
    <d v="2025-07-17T00:00:00"/>
    <s v="Rahul Verma"/>
    <s v="Office Supplies"/>
    <s v="Staplers"/>
    <x v="21"/>
    <s v="North"/>
    <s v="Uttar Pradesh"/>
    <n v="2457"/>
    <n v="1"/>
    <n v="0"/>
    <n v="321.73"/>
    <s v="Credit Card"/>
    <x v="1"/>
    <x v="4"/>
  </r>
  <r>
    <s v="ORD11138"/>
    <d v="2024-12-25T00:00:00"/>
    <s v="Rohan Khan"/>
    <s v="Office Supplies"/>
    <s v="Pens"/>
    <x v="8"/>
    <s v="West"/>
    <s v="Maharashtra"/>
    <n v="11434.2"/>
    <n v="6"/>
    <n v="0.15"/>
    <n v="986.93"/>
    <s v="UPI"/>
    <x v="0"/>
    <x v="3"/>
  </r>
  <r>
    <s v="ORD11139"/>
    <d v="2024-03-14T00:00:00"/>
    <s v="Vikram Patel"/>
    <s v="Technology"/>
    <s v="Keyboards"/>
    <x v="3"/>
    <s v="South"/>
    <s v="Tamil Nadu"/>
    <n v="50774.75"/>
    <n v="1"/>
    <n v="0.15"/>
    <n v="3623.85"/>
    <s v="Credit Card"/>
    <x v="0"/>
    <x v="8"/>
  </r>
  <r>
    <s v="ORD11140"/>
    <d v="2025-11-27T00:00:00"/>
    <s v="Priya Singh"/>
    <s v="Furniture"/>
    <s v="Bookcases"/>
    <x v="19"/>
    <s v="South"/>
    <s v="Karnataka"/>
    <n v="1819"/>
    <n v="1"/>
    <n v="0"/>
    <n v="220.86"/>
    <s v="UPI"/>
    <x v="1"/>
    <x v="11"/>
  </r>
  <r>
    <s v="ORD11141"/>
    <d v="2024-11-07T00:00:00"/>
    <s v="Rohan Khan"/>
    <s v="Furniture"/>
    <s v="Tables"/>
    <x v="31"/>
    <s v="North"/>
    <s v="Uttar Pradesh"/>
    <n v="63290.15"/>
    <n v="7"/>
    <n v="0.15"/>
    <n v="7435.53"/>
    <s v="Net Banking"/>
    <x v="0"/>
    <x v="11"/>
  </r>
  <r>
    <s v="ORD11142"/>
    <d v="2025-01-27T00:00:00"/>
    <s v="Aditya Mehta"/>
    <s v="Office Supplies"/>
    <s v="Staplers"/>
    <x v="21"/>
    <s v="North"/>
    <s v="Uttar Pradesh"/>
    <n v="1634.4"/>
    <n v="8"/>
    <n v="0.1"/>
    <n v="318.91000000000003"/>
    <s v="UPI"/>
    <x v="1"/>
    <x v="6"/>
  </r>
  <r>
    <s v="ORD11143"/>
    <d v="2024-04-04T00:00:00"/>
    <s v="Priya Singh"/>
    <s v="Furniture"/>
    <s v="Cabinets"/>
    <x v="40"/>
    <s v="East"/>
    <s v="Jharkhand"/>
    <n v="99793.4"/>
    <n v="7"/>
    <n v="0.15"/>
    <n v="9273.93"/>
    <s v="Credit Card"/>
    <x v="0"/>
    <x v="5"/>
  </r>
  <r>
    <s v="ORD11144"/>
    <d v="2025-12-21T00:00:00"/>
    <s v="Neha Yadav"/>
    <s v="Office Supplies"/>
    <s v="Paper"/>
    <x v="42"/>
    <s v="West"/>
    <s v="Goa"/>
    <n v="1296"/>
    <n v="6"/>
    <n v="0.1"/>
    <n v="151.58000000000001"/>
    <s v="Credit Card"/>
    <x v="1"/>
    <x v="3"/>
  </r>
  <r>
    <s v="ORD11145"/>
    <d v="2024-07-04T00:00:00"/>
    <s v="Neha Yadav"/>
    <s v="Office Supplies"/>
    <s v="Staplers"/>
    <x v="29"/>
    <s v="North"/>
    <s v="Delhi"/>
    <n v="5541.15"/>
    <n v="3"/>
    <n v="0.15"/>
    <n v="312.08"/>
    <s v="Debit Card"/>
    <x v="0"/>
    <x v="4"/>
  </r>
  <r>
    <s v="ORD11146"/>
    <d v="2024-10-27T00:00:00"/>
    <s v="Rahul Verma"/>
    <s v="Office Supplies"/>
    <s v="Storage Boxes"/>
    <x v="6"/>
    <s v="West"/>
    <s v="Maharashtra"/>
    <n v="4010.9"/>
    <n v="2"/>
    <n v="0.05"/>
    <n v="994.51"/>
    <s v="UPI"/>
    <x v="0"/>
    <x v="2"/>
  </r>
  <r>
    <s v="ORD11147"/>
    <d v="2024-01-06T00:00:00"/>
    <s v="Rohan Khan"/>
    <s v="Furniture"/>
    <s v="Cabinets"/>
    <x v="40"/>
    <s v="East"/>
    <s v="Jharkhand"/>
    <n v="8458.35"/>
    <n v="3"/>
    <n v="0.15"/>
    <n v="1182.05"/>
    <s v="Credit Card"/>
    <x v="0"/>
    <x v="6"/>
  </r>
  <r>
    <s v="ORD11148"/>
    <d v="2024-04-28T00:00:00"/>
    <s v="Priya Singh"/>
    <s v="Furniture"/>
    <s v="Chairs"/>
    <x v="5"/>
    <s v="East"/>
    <s v="Odisha"/>
    <n v="86526.6"/>
    <n v="6"/>
    <n v="0.15"/>
    <n v="17667.32"/>
    <s v="Credit Card"/>
    <x v="0"/>
    <x v="5"/>
  </r>
  <r>
    <s v="ORD11149"/>
    <d v="2025-01-12T00:00:00"/>
    <s v="Aditya Mehta"/>
    <s v="Technology"/>
    <s v="Smartphones"/>
    <x v="13"/>
    <s v="North"/>
    <s v="Uttar Pradesh"/>
    <n v="255633.6"/>
    <n v="6"/>
    <n v="0.2"/>
    <n v="53564.93"/>
    <s v="UPI"/>
    <x v="1"/>
    <x v="6"/>
  </r>
  <r>
    <s v="ORD11150"/>
    <d v="2025-11-11T00:00:00"/>
    <s v="Sneha Joshi"/>
    <s v="Furniture"/>
    <s v="Tables"/>
    <x v="31"/>
    <s v="North"/>
    <s v="Haryana"/>
    <n v="18490.5"/>
    <n v="7"/>
    <n v="0.1"/>
    <n v="4263.1000000000004"/>
    <s v="Cash"/>
    <x v="1"/>
    <x v="11"/>
  </r>
  <r>
    <s v="ORD11151"/>
    <d v="2025-04-01T00:00:00"/>
    <s v="Aditya Mehta"/>
    <s v="Furniture"/>
    <s v="Cabinets"/>
    <x v="40"/>
    <s v="South"/>
    <s v="Tamil Nadu"/>
    <n v="3448.5"/>
    <n v="1"/>
    <n v="0.05"/>
    <n v="691.18"/>
    <s v="Debit Card"/>
    <x v="1"/>
    <x v="5"/>
  </r>
  <r>
    <s v="ORD11152"/>
    <d v="2024-07-26T00:00:00"/>
    <s v="Rahul Verma"/>
    <s v="Office Supplies"/>
    <s v="Pens"/>
    <x v="41"/>
    <s v="West"/>
    <s v="Maharashtra"/>
    <n v="1377.6"/>
    <n v="3"/>
    <n v="0.2"/>
    <n v="52.28"/>
    <s v="Debit Card"/>
    <x v="0"/>
    <x v="4"/>
  </r>
  <r>
    <s v="ORD11153"/>
    <d v="2024-11-06T00:00:00"/>
    <s v="Rahul Verma"/>
    <s v="Technology"/>
    <s v="Keyboards"/>
    <x v="28"/>
    <s v="North"/>
    <s v="Haryana"/>
    <n v="6871.2"/>
    <n v="1"/>
    <n v="0.2"/>
    <n v="935.2"/>
    <s v="Debit Card"/>
    <x v="0"/>
    <x v="11"/>
  </r>
  <r>
    <s v="ORD11154"/>
    <d v="2025-07-20T00:00:00"/>
    <s v="Aditya Mehta"/>
    <s v="Technology"/>
    <s v="Keyboards"/>
    <x v="3"/>
    <s v="South"/>
    <s v="Tamil Nadu"/>
    <n v="260352"/>
    <n v="8"/>
    <n v="0"/>
    <n v="29806.03"/>
    <s v="UPI"/>
    <x v="1"/>
    <x v="4"/>
  </r>
  <r>
    <s v="ORD11155"/>
    <d v="2025-01-05T00:00:00"/>
    <s v="Ananya Gupta"/>
    <s v="Technology"/>
    <s v="Smartphones"/>
    <x v="13"/>
    <s v="South"/>
    <s v="Karnataka"/>
    <n v="65115.1"/>
    <n v="2"/>
    <n v="0.15"/>
    <n v="13703.75"/>
    <s v="Debit Card"/>
    <x v="1"/>
    <x v="6"/>
  </r>
  <r>
    <s v="ORD11156"/>
    <d v="2024-08-18T00:00:00"/>
    <s v="Rahul Verma"/>
    <s v="Furniture"/>
    <s v="Chairs"/>
    <x v="25"/>
    <s v="West"/>
    <s v="Maharashtra"/>
    <n v="42310.45"/>
    <n v="7"/>
    <n v="0.15"/>
    <n v="5604.68"/>
    <s v="Cash"/>
    <x v="0"/>
    <x v="9"/>
  </r>
  <r>
    <s v="ORD11157"/>
    <d v="2024-03-08T00:00:00"/>
    <s v="Aditya Mehta"/>
    <s v="Office Supplies"/>
    <s v="Storage Boxes"/>
    <x v="14"/>
    <s v="West"/>
    <s v="Gujarat"/>
    <n v="7488"/>
    <n v="5"/>
    <n v="0.2"/>
    <n v="270.94"/>
    <s v="UPI"/>
    <x v="0"/>
    <x v="8"/>
  </r>
  <r>
    <s v="ORD11158"/>
    <d v="2025-09-11T00:00:00"/>
    <s v="Sneha Joshi"/>
    <s v="Office Supplies"/>
    <s v="Binders"/>
    <x v="4"/>
    <s v="North"/>
    <s v="Haryana"/>
    <n v="9437.4"/>
    <n v="7"/>
    <n v="0.1"/>
    <n v="2097.6"/>
    <s v="Debit Card"/>
    <x v="1"/>
    <x v="10"/>
  </r>
  <r>
    <s v="ORD11159"/>
    <d v="2025-06-29T00:00:00"/>
    <s v="Aditya Mehta"/>
    <s v="Furniture"/>
    <s v="Cabinets"/>
    <x v="9"/>
    <s v="West"/>
    <s v="Goa"/>
    <n v="30204.75"/>
    <n v="3"/>
    <n v="0.15"/>
    <n v="7175"/>
    <s v="Net Banking"/>
    <x v="1"/>
    <x v="1"/>
  </r>
  <r>
    <s v="ORD11160"/>
    <d v="2024-11-27T00:00:00"/>
    <s v="Ananya Gupta"/>
    <s v="Office Supplies"/>
    <s v="Paper"/>
    <x v="37"/>
    <s v="East"/>
    <s v="Bihar"/>
    <n v="4648.5"/>
    <n v="5"/>
    <n v="0.1"/>
    <n v="1117.33"/>
    <s v="Net Banking"/>
    <x v="0"/>
    <x v="11"/>
  </r>
  <r>
    <s v="ORD11161"/>
    <d v="2024-05-22T00:00:00"/>
    <s v="Vikram Patel"/>
    <s v="Technology"/>
    <s v="Monitors"/>
    <x v="11"/>
    <s v="East"/>
    <s v="Odisha"/>
    <n v="129362.45"/>
    <n v="7"/>
    <n v="0.05"/>
    <n v="28610.16"/>
    <s v="Credit Card"/>
    <x v="0"/>
    <x v="7"/>
  </r>
  <r>
    <s v="ORD11162"/>
    <d v="2025-10-10T00:00:00"/>
    <s v="Sneha Joshi"/>
    <s v="Office Supplies"/>
    <s v="Pens"/>
    <x v="8"/>
    <s v="East"/>
    <s v="Odisha"/>
    <n v="3166.35"/>
    <n v="3"/>
    <n v="0.05"/>
    <n v="592.51"/>
    <s v="Credit Card"/>
    <x v="1"/>
    <x v="2"/>
  </r>
  <r>
    <s v="ORD11163"/>
    <d v="2024-05-29T00:00:00"/>
    <s v="Vikram Patel"/>
    <s v="Office Supplies"/>
    <s v="Staplers"/>
    <x v="7"/>
    <s v="East"/>
    <s v="Odisha"/>
    <n v="16503.599999999999"/>
    <n v="8"/>
    <n v="0.15"/>
    <n v="2475.2399999999998"/>
    <s v="Net Banking"/>
    <x v="0"/>
    <x v="7"/>
  </r>
  <r>
    <s v="ORD11164"/>
    <d v="2025-04-10T00:00:00"/>
    <s v="Aditya Mehta"/>
    <s v="Technology"/>
    <s v="Monitors"/>
    <x v="16"/>
    <s v="North"/>
    <s v="Uttar Pradesh"/>
    <n v="8908.2000000000007"/>
    <n v="7"/>
    <n v="0.1"/>
    <n v="2142.9699999999998"/>
    <s v="Net Banking"/>
    <x v="1"/>
    <x v="5"/>
  </r>
  <r>
    <s v="ORD11165"/>
    <d v="2024-11-16T00:00:00"/>
    <s v="Priya Singh"/>
    <s v="Furniture"/>
    <s v="Cabinets"/>
    <x v="38"/>
    <s v="West"/>
    <s v="Gujarat"/>
    <n v="14314.85"/>
    <n v="1"/>
    <n v="0.15"/>
    <n v="1859.99"/>
    <s v="Credit Card"/>
    <x v="0"/>
    <x v="11"/>
  </r>
  <r>
    <s v="ORD11166"/>
    <d v="2024-04-08T00:00:00"/>
    <s v="Rohan Khan"/>
    <s v="Technology"/>
    <s v="Laptops"/>
    <x v="44"/>
    <s v="East"/>
    <s v="West Bengal"/>
    <n v="31001.599999999999"/>
    <n v="2"/>
    <n v="0.2"/>
    <n v="2594.3000000000002"/>
    <s v="Credit Card"/>
    <x v="0"/>
    <x v="5"/>
  </r>
  <r>
    <s v="ORD11167"/>
    <d v="2024-08-13T00:00:00"/>
    <s v="Pooja Mishra"/>
    <s v="Technology"/>
    <s v="Printers"/>
    <x v="35"/>
    <s v="North"/>
    <s v="Delhi"/>
    <n v="214801.8"/>
    <n v="6"/>
    <n v="0.15"/>
    <n v="19468.79"/>
    <s v="Net Banking"/>
    <x v="0"/>
    <x v="9"/>
  </r>
  <r>
    <s v="ORD11168"/>
    <d v="2025-01-27T00:00:00"/>
    <s v="Ananya Gupta"/>
    <s v="Office Supplies"/>
    <s v="Pens"/>
    <x v="30"/>
    <s v="East"/>
    <s v="Odisha"/>
    <n v="950"/>
    <n v="1"/>
    <n v="0.05"/>
    <n v="217.21"/>
    <s v="Net Banking"/>
    <x v="1"/>
    <x v="6"/>
  </r>
  <r>
    <s v="ORD11169"/>
    <d v="2025-02-20T00:00:00"/>
    <s v="Ananya Gupta"/>
    <s v="Office Supplies"/>
    <s v="Paper"/>
    <x v="42"/>
    <s v="South"/>
    <s v="Karnataka"/>
    <n v="3050"/>
    <n v="5"/>
    <n v="0"/>
    <n v="394.18"/>
    <s v="Credit Card"/>
    <x v="1"/>
    <x v="0"/>
  </r>
  <r>
    <s v="ORD11170"/>
    <d v="2025-09-06T00:00:00"/>
    <s v="Rohan Khan"/>
    <s v="Furniture"/>
    <s v="Cabinets"/>
    <x v="40"/>
    <s v="South"/>
    <s v="Tamil Nadu"/>
    <n v="4063.5"/>
    <n v="5"/>
    <n v="0.1"/>
    <n v="577.16999999999996"/>
    <s v="Cash"/>
    <x v="1"/>
    <x v="10"/>
  </r>
  <r>
    <s v="ORD11171"/>
    <d v="2024-01-24T00:00:00"/>
    <s v="Aditya Mehta"/>
    <s v="Technology"/>
    <s v="Smartphones"/>
    <x v="13"/>
    <s v="North"/>
    <s v="Delhi"/>
    <n v="193286.39999999999"/>
    <n v="8"/>
    <n v="0.2"/>
    <n v="34818.39"/>
    <s v="Debit Card"/>
    <x v="0"/>
    <x v="6"/>
  </r>
  <r>
    <s v="ORD11172"/>
    <d v="2025-01-16T00:00:00"/>
    <s v="Rahul Verma"/>
    <s v="Technology"/>
    <s v="Keyboards"/>
    <x v="15"/>
    <s v="West"/>
    <s v="Rajasthan"/>
    <n v="28818.400000000001"/>
    <n v="1"/>
    <n v="0.15"/>
    <n v="4720.76"/>
    <s v="UPI"/>
    <x v="1"/>
    <x v="6"/>
  </r>
  <r>
    <s v="ORD11173"/>
    <d v="2024-10-24T00:00:00"/>
    <s v="Ananya Gupta"/>
    <s v="Office Supplies"/>
    <s v="Staplers"/>
    <x v="21"/>
    <s v="South"/>
    <s v="Kerala"/>
    <n v="6332.4"/>
    <n v="4"/>
    <n v="0.1"/>
    <n v="663.34"/>
    <s v="Cash"/>
    <x v="0"/>
    <x v="2"/>
  </r>
  <r>
    <s v="ORD11174"/>
    <d v="2025-01-25T00:00:00"/>
    <s v="Aarav Sharma"/>
    <s v="Office Supplies"/>
    <s v="Staplers"/>
    <x v="29"/>
    <s v="North"/>
    <s v="Punjab"/>
    <n v="2707.2"/>
    <n v="2"/>
    <n v="0.2"/>
    <n v="268.11"/>
    <s v="Cash"/>
    <x v="1"/>
    <x v="6"/>
  </r>
  <r>
    <s v="ORD11175"/>
    <d v="2024-09-23T00:00:00"/>
    <s v="Neha Yadav"/>
    <s v="Furniture"/>
    <s v="Tables"/>
    <x v="31"/>
    <s v="West"/>
    <s v="Maharashtra"/>
    <n v="37300.5"/>
    <n v="5"/>
    <n v="0.1"/>
    <n v="8852.14"/>
    <s v="Credit Card"/>
    <x v="0"/>
    <x v="10"/>
  </r>
  <r>
    <s v="ORD11176"/>
    <d v="2025-12-13T00:00:00"/>
    <s v="Aditya Mehta"/>
    <s v="Technology"/>
    <s v="Smartphones"/>
    <x v="13"/>
    <s v="South"/>
    <s v="Karnataka"/>
    <n v="24760.799999999999"/>
    <n v="6"/>
    <n v="0.05"/>
    <n v="2128.8200000000002"/>
    <s v="UPI"/>
    <x v="1"/>
    <x v="3"/>
  </r>
  <r>
    <s v="ORD11177"/>
    <d v="2024-11-15T00:00:00"/>
    <s v="Rahul Verma"/>
    <s v="Furniture"/>
    <s v="Chairs"/>
    <x v="5"/>
    <s v="East"/>
    <s v="Jharkhand"/>
    <n v="71644.25"/>
    <n v="5"/>
    <n v="0.05"/>
    <n v="8118.56"/>
    <s v="Net Banking"/>
    <x v="0"/>
    <x v="11"/>
  </r>
  <r>
    <s v="ORD11178"/>
    <d v="2024-07-19T00:00:00"/>
    <s v="Pooja Mishra"/>
    <s v="Technology"/>
    <s v="Smartphones"/>
    <x v="1"/>
    <s v="North"/>
    <s v="Delhi"/>
    <n v="57256.5"/>
    <n v="3"/>
    <n v="0.05"/>
    <n v="6570.13"/>
    <s v="UPI"/>
    <x v="0"/>
    <x v="4"/>
  </r>
  <r>
    <s v="ORD11179"/>
    <d v="2024-06-05T00:00:00"/>
    <s v="Aditya Mehta"/>
    <s v="Technology"/>
    <s v="Laptops"/>
    <x v="43"/>
    <s v="East"/>
    <s v="Odisha"/>
    <n v="94060.800000000003"/>
    <n v="2"/>
    <n v="0.1"/>
    <n v="18778.46"/>
    <s v="Credit Card"/>
    <x v="0"/>
    <x v="1"/>
  </r>
  <r>
    <s v="ORD11180"/>
    <d v="2024-02-19T00:00:00"/>
    <s v="Neha Yadav"/>
    <s v="Technology"/>
    <s v="Laptops"/>
    <x v="12"/>
    <s v="East"/>
    <s v="Odisha"/>
    <n v="28922.95"/>
    <n v="1"/>
    <n v="0.15"/>
    <n v="2009.85"/>
    <s v="Credit Card"/>
    <x v="0"/>
    <x v="0"/>
  </r>
  <r>
    <s v="ORD11181"/>
    <d v="2025-09-12T00:00:00"/>
    <s v="Aarav Sharma"/>
    <s v="Technology"/>
    <s v="Smartphones"/>
    <x v="13"/>
    <s v="East"/>
    <s v="Bihar"/>
    <n v="117857"/>
    <n v="4"/>
    <n v="0.05"/>
    <n v="11775.96"/>
    <s v="UPI"/>
    <x v="1"/>
    <x v="10"/>
  </r>
  <r>
    <s v="ORD11182"/>
    <d v="2025-06-21T00:00:00"/>
    <s v="Neha Yadav"/>
    <s v="Furniture"/>
    <s v="Desks"/>
    <x v="17"/>
    <s v="North"/>
    <s v="Haryana"/>
    <n v="87955.199999999997"/>
    <n v="8"/>
    <n v="0.2"/>
    <n v="15413.88"/>
    <s v="Net Banking"/>
    <x v="1"/>
    <x v="1"/>
  </r>
  <r>
    <s v="ORD11183"/>
    <d v="2024-07-30T00:00:00"/>
    <s v="Priya Singh"/>
    <s v="Furniture"/>
    <s v="Cabinets"/>
    <x v="9"/>
    <s v="West"/>
    <s v="Rajasthan"/>
    <n v="114958.55"/>
    <n v="7"/>
    <n v="0.05"/>
    <n v="26264.32"/>
    <s v="Net Banking"/>
    <x v="0"/>
    <x v="4"/>
  </r>
  <r>
    <s v="ORD11184"/>
    <d v="2024-01-17T00:00:00"/>
    <s v="Ananya Gupta"/>
    <s v="Furniture"/>
    <s v="Bookcases"/>
    <x v="27"/>
    <s v="North"/>
    <s v="Uttar Pradesh"/>
    <n v="82164.600000000006"/>
    <n v="7"/>
    <n v="0.1"/>
    <n v="12525.53"/>
    <s v="Cash"/>
    <x v="0"/>
    <x v="6"/>
  </r>
  <r>
    <s v="ORD11185"/>
    <d v="2025-03-25T00:00:00"/>
    <s v="Vikram Patel"/>
    <s v="Office Supplies"/>
    <s v="Binders"/>
    <x v="22"/>
    <s v="West"/>
    <s v="Gujarat"/>
    <n v="3410"/>
    <n v="5"/>
    <n v="0"/>
    <n v="886.94"/>
    <s v="Cash"/>
    <x v="1"/>
    <x v="8"/>
  </r>
  <r>
    <s v="ORD11186"/>
    <d v="2025-10-17T00:00:00"/>
    <s v="Priya Singh"/>
    <s v="Furniture"/>
    <s v="Tables"/>
    <x v="26"/>
    <s v="West"/>
    <s v="Rajasthan"/>
    <n v="109622.39999999999"/>
    <n v="8"/>
    <n v="0.05"/>
    <n v="28177.9"/>
    <s v="Debit Card"/>
    <x v="1"/>
    <x v="2"/>
  </r>
  <r>
    <s v="ORD11187"/>
    <d v="2024-02-11T00:00:00"/>
    <s v="Neha Yadav"/>
    <s v="Furniture"/>
    <s v="Chairs"/>
    <x v="25"/>
    <s v="East"/>
    <s v="Jharkhand"/>
    <n v="58419.199999999997"/>
    <n v="7"/>
    <n v="0.2"/>
    <n v="8197.4599999999991"/>
    <s v="UPI"/>
    <x v="0"/>
    <x v="0"/>
  </r>
  <r>
    <s v="ORD11188"/>
    <d v="2024-01-26T00:00:00"/>
    <s v="Aditya Mehta"/>
    <s v="Furniture"/>
    <s v="Bookcases"/>
    <x v="32"/>
    <s v="South"/>
    <s v="Telangana"/>
    <n v="9885.6"/>
    <n v="3"/>
    <n v="0.2"/>
    <n v="829.62"/>
    <s v="Credit Card"/>
    <x v="0"/>
    <x v="6"/>
  </r>
  <r>
    <s v="ORD11189"/>
    <d v="2025-01-11T00:00:00"/>
    <s v="Aarav Sharma"/>
    <s v="Office Supplies"/>
    <s v="Storage Boxes"/>
    <x v="6"/>
    <s v="East"/>
    <s v="West Bengal"/>
    <n v="8517.6"/>
    <n v="7"/>
    <n v="0.2"/>
    <n v="811.8"/>
    <s v="Net Banking"/>
    <x v="1"/>
    <x v="6"/>
  </r>
  <r>
    <s v="ORD11190"/>
    <d v="2025-01-21T00:00:00"/>
    <s v="Sneha Joshi"/>
    <s v="Office Supplies"/>
    <s v="Paper"/>
    <x v="37"/>
    <s v="West"/>
    <s v="Goa"/>
    <n v="356.25"/>
    <n v="1"/>
    <n v="0.05"/>
    <n v="90.52"/>
    <s v="Cash"/>
    <x v="1"/>
    <x v="6"/>
  </r>
  <r>
    <s v="ORD11191"/>
    <d v="2024-02-15T00:00:00"/>
    <s v="Vikram Patel"/>
    <s v="Office Supplies"/>
    <s v="Pens"/>
    <x v="30"/>
    <s v="South"/>
    <s v="Tamil Nadu"/>
    <n v="2089.3000000000002"/>
    <n v="2"/>
    <n v="0.15"/>
    <n v="180.82"/>
    <s v="UPI"/>
    <x v="0"/>
    <x v="0"/>
  </r>
  <r>
    <s v="ORD11192"/>
    <d v="2024-06-16T00:00:00"/>
    <s v="Aarav Sharma"/>
    <s v="Technology"/>
    <s v="Smartphones"/>
    <x v="13"/>
    <s v="West"/>
    <s v="Gujarat"/>
    <n v="87534"/>
    <n v="3"/>
    <n v="0"/>
    <n v="24352.42"/>
    <s v="Debit Card"/>
    <x v="0"/>
    <x v="1"/>
  </r>
  <r>
    <s v="ORD11193"/>
    <d v="2024-12-16T00:00:00"/>
    <s v="Pooja Mishra"/>
    <s v="Office Supplies"/>
    <s v="Staplers"/>
    <x v="7"/>
    <s v="North"/>
    <s v="Punjab"/>
    <n v="1701"/>
    <n v="3"/>
    <n v="0"/>
    <n v="363.82"/>
    <s v="Debit Card"/>
    <x v="0"/>
    <x v="3"/>
  </r>
  <r>
    <s v="ORD11194"/>
    <d v="2024-09-08T00:00:00"/>
    <s v="Ananya Gupta"/>
    <s v="Furniture"/>
    <s v="Bookcases"/>
    <x v="32"/>
    <s v="East"/>
    <s v="Bihar"/>
    <n v="42816"/>
    <n v="3"/>
    <n v="0.2"/>
    <n v="7949.19"/>
    <s v="UPI"/>
    <x v="0"/>
    <x v="10"/>
  </r>
  <r>
    <s v="ORD11195"/>
    <d v="2024-09-20T00:00:00"/>
    <s v="Priya Singh"/>
    <s v="Furniture"/>
    <s v="Tables"/>
    <x v="24"/>
    <s v="East"/>
    <s v="Bihar"/>
    <n v="56244"/>
    <n v="5"/>
    <n v="0.2"/>
    <n v="5065.8100000000004"/>
    <s v="Credit Card"/>
    <x v="0"/>
    <x v="10"/>
  </r>
  <r>
    <s v="ORD11196"/>
    <d v="2025-02-13T00:00:00"/>
    <s v="Rohan Khan"/>
    <s v="Office Supplies"/>
    <s v="Binders"/>
    <x v="4"/>
    <s v="South"/>
    <s v="Tamil Nadu"/>
    <n v="5568"/>
    <n v="3"/>
    <n v="0.2"/>
    <n v="571.27"/>
    <s v="Net Banking"/>
    <x v="1"/>
    <x v="0"/>
  </r>
  <r>
    <s v="ORD11197"/>
    <d v="2025-03-18T00:00:00"/>
    <s v="Rahul Verma"/>
    <s v="Furniture"/>
    <s v="Bookcases"/>
    <x v="19"/>
    <s v="North"/>
    <s v="Punjab"/>
    <n v="23784"/>
    <n v="8"/>
    <n v="0"/>
    <n v="3974.89"/>
    <s v="Cash"/>
    <x v="1"/>
    <x v="8"/>
  </r>
  <r>
    <s v="ORD11198"/>
    <d v="2025-02-19T00:00:00"/>
    <s v="Rohan Khan"/>
    <s v="Furniture"/>
    <s v="Chairs"/>
    <x v="5"/>
    <s v="East"/>
    <s v="Bihar"/>
    <n v="71153.5"/>
    <n v="5"/>
    <n v="0.15"/>
    <n v="11397.7"/>
    <s v="Credit Card"/>
    <x v="1"/>
    <x v="0"/>
  </r>
  <r>
    <s v="ORD11199"/>
    <d v="2024-01-09T00:00:00"/>
    <s v="Rahul Verma"/>
    <s v="Furniture"/>
    <s v="Desks"/>
    <x v="2"/>
    <s v="South"/>
    <s v="Telangana"/>
    <n v="78888"/>
    <n v="6"/>
    <n v="0"/>
    <n v="7606.3"/>
    <s v="Net Banking"/>
    <x v="0"/>
    <x v="6"/>
  </r>
  <r>
    <s v="ORD11200"/>
    <d v="2025-01-10T00:00:00"/>
    <s v="Sneha Joshi"/>
    <s v="Furniture"/>
    <s v="Tables"/>
    <x v="26"/>
    <s v="North"/>
    <s v="Punjab"/>
    <n v="6287.1"/>
    <n v="1"/>
    <n v="0.05"/>
    <n v="790.82"/>
    <s v="Net Banking"/>
    <x v="1"/>
    <x v="6"/>
  </r>
  <r>
    <m/>
    <m/>
    <m/>
    <m/>
    <m/>
    <x v="45"/>
    <m/>
    <m/>
    <m/>
    <m/>
    <m/>
    <m/>
    <m/>
    <x v="2"/>
    <x v="12"/>
  </r>
  <r>
    <m/>
    <m/>
    <m/>
    <m/>
    <m/>
    <x v="45"/>
    <m/>
    <m/>
    <m/>
    <m/>
    <m/>
    <m/>
    <m/>
    <x v="2"/>
    <x v="12"/>
  </r>
  <r>
    <m/>
    <m/>
    <m/>
    <m/>
    <m/>
    <x v="45"/>
    <m/>
    <m/>
    <m/>
    <m/>
    <m/>
    <m/>
    <m/>
    <x v="2"/>
    <x v="12"/>
  </r>
  <r>
    <m/>
    <m/>
    <m/>
    <m/>
    <m/>
    <x v="45"/>
    <m/>
    <m/>
    <m/>
    <m/>
    <m/>
    <m/>
    <m/>
    <x v="2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429E3-825A-4D0A-AACD-549E0B1D7CF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31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sd="0" x="2"/>
        <item t="default"/>
      </items>
    </pivotField>
    <pivotField axis="axisRow" showAll="0">
      <items count="14">
        <item x="6"/>
        <item x="0"/>
        <item x="8"/>
        <item x="5"/>
        <item x="7"/>
        <item x="1"/>
        <item x="4"/>
        <item x="9"/>
        <item x="10"/>
        <item x="2"/>
        <item x="11"/>
        <item x="3"/>
        <item x="12"/>
        <item t="default"/>
      </items>
    </pivotField>
  </pivotFields>
  <rowFields count="2">
    <field x="13"/>
    <field x="14"/>
  </rowFields>
  <rowItems count="2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t="grand">
      <x/>
    </i>
  </rowItems>
  <colItems count="1">
    <i/>
  </colItems>
  <dataFields count="1">
    <dataField name="Sum of Sales" fld="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B97CE-C112-4BC6-91E5-8D4EE15C838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15">
    <pivotField showAll="0"/>
    <pivotField showAll="0"/>
    <pivotField showAll="0"/>
    <pivotField showAll="0"/>
    <pivotField showAll="0"/>
    <pivotField axis="axisRow" showAll="0" measureFilter="1">
      <items count="47">
        <item x="22"/>
        <item x="32"/>
        <item x="9"/>
        <item x="23"/>
        <item x="36"/>
        <item x="3"/>
        <item x="43"/>
        <item x="16"/>
        <item x="42"/>
        <item x="41"/>
        <item x="33"/>
        <item x="1"/>
        <item x="29"/>
        <item x="18"/>
        <item x="24"/>
        <item x="34"/>
        <item x="19"/>
        <item x="40"/>
        <item x="5"/>
        <item x="2"/>
        <item x="28"/>
        <item x="44"/>
        <item x="20"/>
        <item x="0"/>
        <item x="30"/>
        <item x="35"/>
        <item x="10"/>
        <item x="21"/>
        <item x="14"/>
        <item x="26"/>
        <item x="4"/>
        <item x="27"/>
        <item x="38"/>
        <item x="25"/>
        <item x="17"/>
        <item x="15"/>
        <item x="12"/>
        <item x="11"/>
        <item x="37"/>
        <item x="8"/>
        <item x="39"/>
        <item x="13"/>
        <item x="7"/>
        <item x="6"/>
        <item x="31"/>
        <item x="4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1">
    <i>
      <x v="5"/>
    </i>
    <i>
      <x v="10"/>
    </i>
    <i>
      <x v="11"/>
    </i>
    <i>
      <x v="22"/>
    </i>
    <i>
      <x v="25"/>
    </i>
    <i>
      <x v="26"/>
    </i>
    <i>
      <x v="35"/>
    </i>
    <i>
      <x v="36"/>
    </i>
    <i>
      <x v="37"/>
    </i>
    <i>
      <x v="41"/>
    </i>
    <i t="grand">
      <x/>
    </i>
  </rowItems>
  <colItems count="1">
    <i/>
  </colItems>
  <dataFields count="1">
    <dataField name="Sum of Sales" fld="8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CF08A9-1DCA-425D-BD12-6E3B48AA6161}" name="SalesData" displayName="SalesData" ref="A1:O1204" totalsRowShown="0">
  <autoFilter ref="A1:O1204" xr:uid="{04CF08A9-1DCA-425D-BD12-6E3B48AA6161}"/>
  <tableColumns count="15">
    <tableColumn id="1" xr3:uid="{6D1F5315-D486-421F-940B-872B0B60FA5D}" name="Order_ID"/>
    <tableColumn id="2" xr3:uid="{97431FE5-97F7-4988-8949-73F1A3BD2F17}" name="Order_Date" dataDxfId="3"/>
    <tableColumn id="3" xr3:uid="{A1120B02-B124-45F6-A496-50F3F752817C}" name="Customer_Name"/>
    <tableColumn id="4" xr3:uid="{0C46724E-859D-40F0-A8D6-BA53B6FCDF69}" name="Category"/>
    <tableColumn id="5" xr3:uid="{4E33308D-CD3C-44D7-B534-CD5898B02505}" name="Sub_Category"/>
    <tableColumn id="6" xr3:uid="{659FEC3E-BA80-4D7C-A8B6-26723D2BB7CB}" name="Product_Name"/>
    <tableColumn id="7" xr3:uid="{1C982C96-88D3-480E-805B-AD813EAF74EF}" name="Region"/>
    <tableColumn id="8" xr3:uid="{7F5D4BDA-79A5-4EE2-8324-BA2096F26DAD}" name="State"/>
    <tableColumn id="9" xr3:uid="{CDA3446D-EDD5-449C-B9A1-8B0CA56639BF}" name="Sales" dataDxfId="2"/>
    <tableColumn id="10" xr3:uid="{F5209F4D-CCDB-4417-9723-036C0200BD28}" name="Quantity"/>
    <tableColumn id="11" xr3:uid="{08B04678-14CF-438F-ACBE-72FB63F1D48D}" name="Discount" dataDxfId="1"/>
    <tableColumn id="12" xr3:uid="{0DF9DDEB-3590-4FF8-8DDF-E1F731161504}" name="Profit" dataDxfId="0"/>
    <tableColumn id="13" xr3:uid="{589FA96D-7C21-4966-BC6D-993BB6E75665}" name="Payment_Mode"/>
    <tableColumn id="14" xr3:uid="{E2922FDE-3125-477B-AAF3-A89D34B555A6}" name="Year"/>
    <tableColumn id="15" xr3:uid="{407BB8E1-092D-4FDC-A301-F565BBEAB7FB}" name="Mon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ivotTable" Target="../pivotTables/pivotTable1.x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C1" sqref="C1"/>
    </sheetView>
  </sheetViews>
  <sheetFormatPr defaultRowHeight="15" x14ac:dyDescent="0.2"/>
  <cols>
    <col min="1" max="1" width="24.34765625" customWidth="1"/>
    <col min="2" max="2" width="37.53125" bestFit="1" customWidth="1"/>
    <col min="3" max="3" width="10.0859375" customWidth="1"/>
    <col min="4" max="4" width="22.59765625" bestFit="1" customWidth="1"/>
  </cols>
  <sheetData>
    <row r="1" spans="1:4" x14ac:dyDescent="0.2">
      <c r="A1" s="1" t="s">
        <v>1311</v>
      </c>
      <c r="B1" s="1" t="s">
        <v>1312</v>
      </c>
      <c r="C1" s="1" t="s">
        <v>1313</v>
      </c>
      <c r="D1" s="1" t="s">
        <v>1314</v>
      </c>
    </row>
    <row r="2" spans="1:4" x14ac:dyDescent="0.2">
      <c r="A2" t="s">
        <v>1315</v>
      </c>
      <c r="B2" t="s">
        <v>1316</v>
      </c>
      <c r="C2">
        <v>1200</v>
      </c>
      <c r="D2" t="s">
        <v>1317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workbookViewId="0">
      <selection activeCell="F1215" sqref="F1215"/>
    </sheetView>
  </sheetViews>
  <sheetFormatPr defaultRowHeight="15" x14ac:dyDescent="0.2"/>
  <cols>
    <col min="1" max="1" width="10.4921875" customWidth="1"/>
    <col min="2" max="2" width="18.16015625" style="7" bestFit="1" customWidth="1"/>
    <col min="3" max="3" width="16.94921875" customWidth="1"/>
    <col min="4" max="4" width="13.046875" bestFit="1" customWidth="1"/>
    <col min="5" max="5" width="14.66015625" customWidth="1"/>
    <col min="6" max="6" width="20.4453125" bestFit="1" customWidth="1"/>
    <col min="7" max="7" width="8.609375" customWidth="1"/>
    <col min="8" max="8" width="12.23828125" bestFit="1" customWidth="1"/>
    <col min="9" max="9" width="11.8359375" style="3" bestFit="1" customWidth="1"/>
    <col min="10" max="10" width="10.22265625" customWidth="1"/>
    <col min="11" max="11" width="10.22265625" style="5" customWidth="1"/>
    <col min="12" max="12" width="11.8359375" style="3" bestFit="1" customWidth="1"/>
    <col min="13" max="13" width="16.41015625" customWidth="1"/>
  </cols>
  <sheetData>
    <row r="1" spans="1:15" x14ac:dyDescent="0.2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4" t="s">
        <v>10</v>
      </c>
      <c r="L1" s="2" t="s">
        <v>11</v>
      </c>
      <c r="M1" s="1" t="s">
        <v>12</v>
      </c>
      <c r="N1" s="12" t="s">
        <v>1326</v>
      </c>
      <c r="O1" s="12" t="s">
        <v>1327</v>
      </c>
    </row>
    <row r="2" spans="1:15" x14ac:dyDescent="0.2">
      <c r="A2" t="s">
        <v>13</v>
      </c>
      <c r="B2" s="7">
        <v>45324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3">
        <v>9332</v>
      </c>
      <c r="J2">
        <v>4</v>
      </c>
      <c r="K2" s="5">
        <v>0</v>
      </c>
      <c r="L2" s="3">
        <v>1848.66</v>
      </c>
      <c r="M2" t="s">
        <v>20</v>
      </c>
      <c r="N2">
        <f t="shared" ref="N2:N65" si="0">YEAR(B2)</f>
        <v>2024</v>
      </c>
      <c r="O2" t="str">
        <f t="shared" ref="O2:O65" si="1">TEXT(B2,"mmmm")</f>
        <v>February</v>
      </c>
    </row>
    <row r="3" spans="1:15" x14ac:dyDescent="0.2">
      <c r="A3" t="s">
        <v>21</v>
      </c>
      <c r="B3" s="7">
        <v>45455</v>
      </c>
      <c r="C3" t="s">
        <v>22</v>
      </c>
      <c r="D3" t="s">
        <v>23</v>
      </c>
      <c r="E3" t="s">
        <v>24</v>
      </c>
      <c r="F3" t="s">
        <v>25</v>
      </c>
      <c r="G3" t="s">
        <v>18</v>
      </c>
      <c r="H3" t="s">
        <v>26</v>
      </c>
      <c r="I3" s="3">
        <v>109522</v>
      </c>
      <c r="J3">
        <v>7</v>
      </c>
      <c r="K3" s="5">
        <v>0</v>
      </c>
      <c r="L3" s="3">
        <v>25382.98</v>
      </c>
      <c r="M3" t="s">
        <v>27</v>
      </c>
      <c r="N3">
        <f t="shared" si="0"/>
        <v>2024</v>
      </c>
      <c r="O3" t="str">
        <f t="shared" si="1"/>
        <v>June</v>
      </c>
    </row>
    <row r="4" spans="1:15" x14ac:dyDescent="0.2">
      <c r="A4" t="s">
        <v>28</v>
      </c>
      <c r="B4" s="7">
        <v>45336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s="3">
        <v>7144.2</v>
      </c>
      <c r="J4">
        <v>2</v>
      </c>
      <c r="K4" s="5">
        <v>0.1</v>
      </c>
      <c r="L4" s="3">
        <v>1255.56</v>
      </c>
      <c r="M4" t="s">
        <v>35</v>
      </c>
      <c r="N4">
        <f t="shared" si="0"/>
        <v>2024</v>
      </c>
      <c r="O4" t="str">
        <f t="shared" si="1"/>
        <v>February</v>
      </c>
    </row>
    <row r="5" spans="1:15" x14ac:dyDescent="0.2">
      <c r="A5" t="s">
        <v>36</v>
      </c>
      <c r="B5" s="7">
        <v>45588</v>
      </c>
      <c r="C5" t="s">
        <v>37</v>
      </c>
      <c r="D5" t="s">
        <v>23</v>
      </c>
      <c r="E5" t="s">
        <v>38</v>
      </c>
      <c r="F5" t="s">
        <v>39</v>
      </c>
      <c r="G5" t="s">
        <v>18</v>
      </c>
      <c r="H5" t="s">
        <v>19</v>
      </c>
      <c r="I5" s="3">
        <v>234222</v>
      </c>
      <c r="J5">
        <v>6</v>
      </c>
      <c r="K5" s="5">
        <v>0</v>
      </c>
      <c r="L5" s="3">
        <v>49714.239999999998</v>
      </c>
      <c r="M5" t="s">
        <v>40</v>
      </c>
      <c r="N5">
        <f t="shared" si="0"/>
        <v>2024</v>
      </c>
      <c r="O5" t="str">
        <f t="shared" si="1"/>
        <v>October</v>
      </c>
    </row>
    <row r="6" spans="1:15" x14ac:dyDescent="0.2">
      <c r="A6" t="s">
        <v>41</v>
      </c>
      <c r="B6" s="7">
        <v>46010</v>
      </c>
      <c r="C6" t="s">
        <v>37</v>
      </c>
      <c r="D6" t="s">
        <v>23</v>
      </c>
      <c r="E6" t="s">
        <v>38</v>
      </c>
      <c r="F6" t="s">
        <v>39</v>
      </c>
      <c r="G6" t="s">
        <v>42</v>
      </c>
      <c r="H6" t="s">
        <v>43</v>
      </c>
      <c r="I6" s="3">
        <v>67596.3</v>
      </c>
      <c r="J6">
        <v>6</v>
      </c>
      <c r="K6" s="5">
        <v>0.05</v>
      </c>
      <c r="L6" s="3">
        <v>13623.02</v>
      </c>
      <c r="M6" t="s">
        <v>35</v>
      </c>
      <c r="N6">
        <f t="shared" si="0"/>
        <v>2025</v>
      </c>
      <c r="O6" t="str">
        <f t="shared" si="1"/>
        <v>December</v>
      </c>
    </row>
    <row r="7" spans="1:15" x14ac:dyDescent="0.2">
      <c r="A7" t="s">
        <v>44</v>
      </c>
      <c r="B7" s="7">
        <v>45324</v>
      </c>
      <c r="C7" t="s">
        <v>45</v>
      </c>
      <c r="D7" t="s">
        <v>15</v>
      </c>
      <c r="E7" t="s">
        <v>46</v>
      </c>
      <c r="F7" t="s">
        <v>47</v>
      </c>
      <c r="G7" t="s">
        <v>33</v>
      </c>
      <c r="H7" t="s">
        <v>48</v>
      </c>
      <c r="I7" s="3">
        <v>9996</v>
      </c>
      <c r="J7">
        <v>7</v>
      </c>
      <c r="K7" s="5">
        <v>0</v>
      </c>
      <c r="L7" s="3">
        <v>1257.5899999999999</v>
      </c>
      <c r="M7" t="s">
        <v>49</v>
      </c>
      <c r="N7">
        <f t="shared" si="0"/>
        <v>2024</v>
      </c>
      <c r="O7" t="str">
        <f t="shared" si="1"/>
        <v>February</v>
      </c>
    </row>
    <row r="8" spans="1:15" x14ac:dyDescent="0.2">
      <c r="A8" t="s">
        <v>50</v>
      </c>
      <c r="B8" s="7">
        <v>45866</v>
      </c>
      <c r="C8" t="s">
        <v>51</v>
      </c>
      <c r="D8" t="s">
        <v>30</v>
      </c>
      <c r="E8" t="s">
        <v>52</v>
      </c>
      <c r="F8" t="s">
        <v>53</v>
      </c>
      <c r="G8" t="s">
        <v>33</v>
      </c>
      <c r="H8" t="s">
        <v>34</v>
      </c>
      <c r="I8" s="3">
        <v>114012</v>
      </c>
      <c r="J8">
        <v>8</v>
      </c>
      <c r="K8" s="5">
        <v>0.1</v>
      </c>
      <c r="L8" s="3">
        <v>9454.57</v>
      </c>
      <c r="M8" t="s">
        <v>27</v>
      </c>
      <c r="N8">
        <f t="shared" si="0"/>
        <v>2025</v>
      </c>
      <c r="O8" t="str">
        <f t="shared" si="1"/>
        <v>July</v>
      </c>
    </row>
    <row r="9" spans="1:15" x14ac:dyDescent="0.2">
      <c r="A9" t="s">
        <v>54</v>
      </c>
      <c r="B9" s="7">
        <v>45404</v>
      </c>
      <c r="C9" t="s">
        <v>55</v>
      </c>
      <c r="D9" t="s">
        <v>15</v>
      </c>
      <c r="E9" t="s">
        <v>56</v>
      </c>
      <c r="F9" t="s">
        <v>57</v>
      </c>
      <c r="G9" t="s">
        <v>58</v>
      </c>
      <c r="H9" t="s">
        <v>59</v>
      </c>
      <c r="I9" s="3">
        <v>8484</v>
      </c>
      <c r="J9">
        <v>4</v>
      </c>
      <c r="K9" s="5">
        <v>0</v>
      </c>
      <c r="L9" s="3">
        <v>1961.13</v>
      </c>
      <c r="M9" t="s">
        <v>40</v>
      </c>
      <c r="N9">
        <f t="shared" si="0"/>
        <v>2024</v>
      </c>
      <c r="O9" t="str">
        <f t="shared" si="1"/>
        <v>April</v>
      </c>
    </row>
    <row r="10" spans="1:15" x14ac:dyDescent="0.2">
      <c r="A10" t="s">
        <v>60</v>
      </c>
      <c r="B10" s="7">
        <v>45409</v>
      </c>
      <c r="C10" t="s">
        <v>51</v>
      </c>
      <c r="D10" t="s">
        <v>15</v>
      </c>
      <c r="E10" t="s">
        <v>61</v>
      </c>
      <c r="F10" t="s">
        <v>62</v>
      </c>
      <c r="G10" t="s">
        <v>18</v>
      </c>
      <c r="H10" t="s">
        <v>63</v>
      </c>
      <c r="I10" s="3">
        <v>18928</v>
      </c>
      <c r="J10">
        <v>8</v>
      </c>
      <c r="K10" s="5">
        <v>0</v>
      </c>
      <c r="L10" s="3">
        <v>4089.52</v>
      </c>
      <c r="M10" t="s">
        <v>27</v>
      </c>
      <c r="N10">
        <f t="shared" si="0"/>
        <v>2024</v>
      </c>
      <c r="O10" t="str">
        <f t="shared" si="1"/>
        <v>April</v>
      </c>
    </row>
    <row r="11" spans="1:15" x14ac:dyDescent="0.2">
      <c r="A11" t="s">
        <v>64</v>
      </c>
      <c r="B11" s="7">
        <v>45811</v>
      </c>
      <c r="C11" t="s">
        <v>37</v>
      </c>
      <c r="D11" t="s">
        <v>15</v>
      </c>
      <c r="E11" t="s">
        <v>65</v>
      </c>
      <c r="F11" t="s">
        <v>66</v>
      </c>
      <c r="G11" t="s">
        <v>18</v>
      </c>
      <c r="H11" t="s">
        <v>19</v>
      </c>
      <c r="I11" s="3">
        <v>2827.2</v>
      </c>
      <c r="J11">
        <v>3</v>
      </c>
      <c r="K11" s="5">
        <v>0.2</v>
      </c>
      <c r="L11" s="3">
        <v>515.66</v>
      </c>
      <c r="M11" t="s">
        <v>27</v>
      </c>
      <c r="N11">
        <f t="shared" si="0"/>
        <v>2025</v>
      </c>
      <c r="O11" t="str">
        <f t="shared" si="1"/>
        <v>June</v>
      </c>
    </row>
    <row r="12" spans="1:15" x14ac:dyDescent="0.2">
      <c r="A12" t="s">
        <v>67</v>
      </c>
      <c r="B12" s="7">
        <v>45663</v>
      </c>
      <c r="C12" t="s">
        <v>68</v>
      </c>
      <c r="D12" t="s">
        <v>15</v>
      </c>
      <c r="E12" t="s">
        <v>56</v>
      </c>
      <c r="F12" t="s">
        <v>57</v>
      </c>
      <c r="G12" t="s">
        <v>33</v>
      </c>
      <c r="H12" t="s">
        <v>48</v>
      </c>
      <c r="I12" s="3">
        <v>3638.85</v>
      </c>
      <c r="J12">
        <v>3</v>
      </c>
      <c r="K12" s="5">
        <v>0.15</v>
      </c>
      <c r="L12" s="3">
        <v>168.83</v>
      </c>
      <c r="M12" t="s">
        <v>40</v>
      </c>
      <c r="N12">
        <f t="shared" si="0"/>
        <v>2025</v>
      </c>
      <c r="O12" t="str">
        <f t="shared" si="1"/>
        <v>January</v>
      </c>
    </row>
    <row r="13" spans="1:15" x14ac:dyDescent="0.2">
      <c r="A13" t="s">
        <v>69</v>
      </c>
      <c r="B13" s="7">
        <v>45778</v>
      </c>
      <c r="C13" t="s">
        <v>51</v>
      </c>
      <c r="D13" t="s">
        <v>23</v>
      </c>
      <c r="E13" t="s">
        <v>24</v>
      </c>
      <c r="F13" t="s">
        <v>25</v>
      </c>
      <c r="G13" t="s">
        <v>18</v>
      </c>
      <c r="H13" t="s">
        <v>70</v>
      </c>
      <c r="I13" s="3">
        <v>415552.8</v>
      </c>
      <c r="J13">
        <v>8</v>
      </c>
      <c r="K13" s="5">
        <v>0.05</v>
      </c>
      <c r="L13" s="3">
        <v>38720.5</v>
      </c>
      <c r="M13" t="s">
        <v>40</v>
      </c>
      <c r="N13">
        <f t="shared" si="0"/>
        <v>2025</v>
      </c>
      <c r="O13" t="str">
        <f t="shared" si="1"/>
        <v>May</v>
      </c>
    </row>
    <row r="14" spans="1:15" x14ac:dyDescent="0.2">
      <c r="A14" t="s">
        <v>71</v>
      </c>
      <c r="B14" s="7">
        <v>45821</v>
      </c>
      <c r="C14" t="s">
        <v>29</v>
      </c>
      <c r="D14" t="s">
        <v>30</v>
      </c>
      <c r="E14" t="s">
        <v>72</v>
      </c>
      <c r="F14" t="s">
        <v>73</v>
      </c>
      <c r="G14" t="s">
        <v>58</v>
      </c>
      <c r="H14" t="s">
        <v>74</v>
      </c>
      <c r="I14" s="3">
        <v>39650.400000000001</v>
      </c>
      <c r="J14">
        <v>4</v>
      </c>
      <c r="K14" s="5">
        <v>0.1</v>
      </c>
      <c r="L14" s="3">
        <v>5654.94</v>
      </c>
      <c r="M14" t="s">
        <v>20</v>
      </c>
      <c r="N14">
        <f t="shared" si="0"/>
        <v>2025</v>
      </c>
      <c r="O14" t="str">
        <f t="shared" si="1"/>
        <v>June</v>
      </c>
    </row>
    <row r="15" spans="1:15" x14ac:dyDescent="0.2">
      <c r="A15" t="s">
        <v>75</v>
      </c>
      <c r="B15" s="7">
        <v>45352</v>
      </c>
      <c r="C15" t="s">
        <v>76</v>
      </c>
      <c r="D15" t="s">
        <v>23</v>
      </c>
      <c r="E15" t="s">
        <v>24</v>
      </c>
      <c r="F15" t="s">
        <v>77</v>
      </c>
      <c r="G15" t="s">
        <v>18</v>
      </c>
      <c r="H15" t="s">
        <v>19</v>
      </c>
      <c r="I15" s="3">
        <v>159056</v>
      </c>
      <c r="J15">
        <v>4</v>
      </c>
      <c r="K15" s="5">
        <v>0</v>
      </c>
      <c r="L15" s="3">
        <v>35241.75</v>
      </c>
      <c r="M15" t="s">
        <v>20</v>
      </c>
      <c r="N15">
        <f t="shared" si="0"/>
        <v>2024</v>
      </c>
      <c r="O15" t="str">
        <f t="shared" si="1"/>
        <v>March</v>
      </c>
    </row>
    <row r="16" spans="1:15" x14ac:dyDescent="0.2">
      <c r="A16" t="s">
        <v>78</v>
      </c>
      <c r="B16" s="7">
        <v>45776</v>
      </c>
      <c r="C16" t="s">
        <v>22</v>
      </c>
      <c r="D16" t="s">
        <v>23</v>
      </c>
      <c r="E16" t="s">
        <v>79</v>
      </c>
      <c r="F16" t="s">
        <v>80</v>
      </c>
      <c r="G16" t="s">
        <v>18</v>
      </c>
      <c r="H16" t="s">
        <v>26</v>
      </c>
      <c r="I16" s="3">
        <v>97536</v>
      </c>
      <c r="J16">
        <v>8</v>
      </c>
      <c r="K16" s="5">
        <v>0.2</v>
      </c>
      <c r="L16" s="3">
        <v>12146.57</v>
      </c>
      <c r="M16" t="s">
        <v>40</v>
      </c>
      <c r="N16">
        <f t="shared" si="0"/>
        <v>2025</v>
      </c>
      <c r="O16" t="str">
        <f t="shared" si="1"/>
        <v>April</v>
      </c>
    </row>
    <row r="17" spans="1:15" x14ac:dyDescent="0.2">
      <c r="A17" t="s">
        <v>81</v>
      </c>
      <c r="B17" s="7">
        <v>45639</v>
      </c>
      <c r="C17" t="s">
        <v>37</v>
      </c>
      <c r="D17" t="s">
        <v>23</v>
      </c>
      <c r="E17" t="s">
        <v>82</v>
      </c>
      <c r="F17" t="s">
        <v>83</v>
      </c>
      <c r="G17" t="s">
        <v>58</v>
      </c>
      <c r="H17" t="s">
        <v>84</v>
      </c>
      <c r="I17" s="3">
        <v>222642</v>
      </c>
      <c r="J17">
        <v>7</v>
      </c>
      <c r="K17" s="5">
        <v>0</v>
      </c>
      <c r="L17" s="3">
        <v>35739.440000000002</v>
      </c>
      <c r="M17" t="s">
        <v>40</v>
      </c>
      <c r="N17">
        <f t="shared" si="0"/>
        <v>2024</v>
      </c>
      <c r="O17" t="str">
        <f t="shared" si="1"/>
        <v>December</v>
      </c>
    </row>
    <row r="18" spans="1:15" x14ac:dyDescent="0.2">
      <c r="A18" t="s">
        <v>85</v>
      </c>
      <c r="B18" s="7">
        <v>45855</v>
      </c>
      <c r="C18" t="s">
        <v>37</v>
      </c>
      <c r="D18" t="s">
        <v>23</v>
      </c>
      <c r="E18" t="s">
        <v>24</v>
      </c>
      <c r="F18" t="s">
        <v>86</v>
      </c>
      <c r="G18" t="s">
        <v>58</v>
      </c>
      <c r="H18" t="s">
        <v>74</v>
      </c>
      <c r="I18" s="3">
        <v>58362</v>
      </c>
      <c r="J18">
        <v>3</v>
      </c>
      <c r="K18" s="5">
        <v>0</v>
      </c>
      <c r="L18" s="3">
        <v>9841.36</v>
      </c>
      <c r="M18" t="s">
        <v>20</v>
      </c>
      <c r="N18">
        <f t="shared" si="0"/>
        <v>2025</v>
      </c>
      <c r="O18" t="str">
        <f t="shared" si="1"/>
        <v>July</v>
      </c>
    </row>
    <row r="19" spans="1:15" x14ac:dyDescent="0.2">
      <c r="A19" t="s">
        <v>87</v>
      </c>
      <c r="B19" s="7">
        <v>45352</v>
      </c>
      <c r="C19" t="s">
        <v>55</v>
      </c>
      <c r="D19" t="s">
        <v>15</v>
      </c>
      <c r="E19" t="s">
        <v>56</v>
      </c>
      <c r="F19" t="s">
        <v>88</v>
      </c>
      <c r="G19" t="s">
        <v>18</v>
      </c>
      <c r="H19" t="s">
        <v>70</v>
      </c>
      <c r="I19" s="3">
        <v>5902.35</v>
      </c>
      <c r="J19">
        <v>3</v>
      </c>
      <c r="K19" s="5">
        <v>0.05</v>
      </c>
      <c r="L19" s="3">
        <v>1419.1</v>
      </c>
      <c r="M19" t="s">
        <v>49</v>
      </c>
      <c r="N19">
        <f t="shared" si="0"/>
        <v>2024</v>
      </c>
      <c r="O19" t="str">
        <f t="shared" si="1"/>
        <v>March</v>
      </c>
    </row>
    <row r="20" spans="1:15" x14ac:dyDescent="0.2">
      <c r="A20" t="s">
        <v>89</v>
      </c>
      <c r="B20" s="7">
        <v>45351</v>
      </c>
      <c r="C20" t="s">
        <v>90</v>
      </c>
      <c r="D20" t="s">
        <v>23</v>
      </c>
      <c r="E20" t="s">
        <v>38</v>
      </c>
      <c r="F20" t="s">
        <v>91</v>
      </c>
      <c r="G20" t="s">
        <v>42</v>
      </c>
      <c r="H20" t="s">
        <v>43</v>
      </c>
      <c r="I20" s="3">
        <v>311559.15000000002</v>
      </c>
      <c r="J20">
        <v>7</v>
      </c>
      <c r="K20" s="5">
        <v>0.05</v>
      </c>
      <c r="L20" s="3">
        <v>39518.65</v>
      </c>
      <c r="M20" t="s">
        <v>35</v>
      </c>
      <c r="N20">
        <f t="shared" si="0"/>
        <v>2024</v>
      </c>
      <c r="O20" t="str">
        <f t="shared" si="1"/>
        <v>February</v>
      </c>
    </row>
    <row r="21" spans="1:15" x14ac:dyDescent="0.2">
      <c r="A21" t="s">
        <v>92</v>
      </c>
      <c r="B21" s="7">
        <v>45482</v>
      </c>
      <c r="C21" t="s">
        <v>37</v>
      </c>
      <c r="D21" t="s">
        <v>23</v>
      </c>
      <c r="E21" t="s">
        <v>79</v>
      </c>
      <c r="F21" t="s">
        <v>93</v>
      </c>
      <c r="G21" t="s">
        <v>18</v>
      </c>
      <c r="H21" t="s">
        <v>70</v>
      </c>
      <c r="I21" s="3">
        <v>218585.60000000001</v>
      </c>
      <c r="J21">
        <v>8</v>
      </c>
      <c r="K21" s="5">
        <v>0.2</v>
      </c>
      <c r="L21" s="3">
        <v>10059.81</v>
      </c>
      <c r="M21" t="s">
        <v>35</v>
      </c>
      <c r="N21">
        <f t="shared" si="0"/>
        <v>2024</v>
      </c>
      <c r="O21" t="str">
        <f t="shared" si="1"/>
        <v>July</v>
      </c>
    </row>
    <row r="22" spans="1:15" x14ac:dyDescent="0.2">
      <c r="A22" t="s">
        <v>94</v>
      </c>
      <c r="B22" s="7">
        <v>45870</v>
      </c>
      <c r="C22" t="s">
        <v>51</v>
      </c>
      <c r="D22" t="s">
        <v>23</v>
      </c>
      <c r="E22" t="s">
        <v>24</v>
      </c>
      <c r="F22" t="s">
        <v>25</v>
      </c>
      <c r="G22" t="s">
        <v>58</v>
      </c>
      <c r="H22" t="s">
        <v>95</v>
      </c>
      <c r="I22" s="3">
        <v>133076</v>
      </c>
      <c r="J22">
        <v>4</v>
      </c>
      <c r="K22" s="5">
        <v>0.15</v>
      </c>
      <c r="L22" s="3">
        <v>23151.85</v>
      </c>
      <c r="M22" t="s">
        <v>27</v>
      </c>
      <c r="N22">
        <f t="shared" si="0"/>
        <v>2025</v>
      </c>
      <c r="O22" t="str">
        <f t="shared" si="1"/>
        <v>August</v>
      </c>
    </row>
    <row r="23" spans="1:15" x14ac:dyDescent="0.2">
      <c r="A23" t="s">
        <v>96</v>
      </c>
      <c r="B23" s="7">
        <v>45366</v>
      </c>
      <c r="C23" t="s">
        <v>14</v>
      </c>
      <c r="D23" t="s">
        <v>30</v>
      </c>
      <c r="E23" t="s">
        <v>31</v>
      </c>
      <c r="F23" t="s">
        <v>97</v>
      </c>
      <c r="G23" t="s">
        <v>42</v>
      </c>
      <c r="H23" t="s">
        <v>98</v>
      </c>
      <c r="I23" s="3">
        <v>66969</v>
      </c>
      <c r="J23">
        <v>7</v>
      </c>
      <c r="K23" s="5">
        <v>0.1</v>
      </c>
      <c r="L23" s="3">
        <v>16126.38</v>
      </c>
      <c r="M23" t="s">
        <v>49</v>
      </c>
      <c r="N23">
        <f t="shared" si="0"/>
        <v>2024</v>
      </c>
      <c r="O23" t="str">
        <f t="shared" si="1"/>
        <v>March</v>
      </c>
    </row>
    <row r="24" spans="1:15" x14ac:dyDescent="0.2">
      <c r="A24" t="s">
        <v>99</v>
      </c>
      <c r="B24" s="7">
        <v>45542</v>
      </c>
      <c r="C24" t="s">
        <v>45</v>
      </c>
      <c r="D24" t="s">
        <v>15</v>
      </c>
      <c r="E24" t="s">
        <v>56</v>
      </c>
      <c r="F24" t="s">
        <v>100</v>
      </c>
      <c r="G24" t="s">
        <v>18</v>
      </c>
      <c r="H24" t="s">
        <v>70</v>
      </c>
      <c r="I24" s="3">
        <v>2311.1999999999998</v>
      </c>
      <c r="J24">
        <v>4</v>
      </c>
      <c r="K24" s="5">
        <v>0.1</v>
      </c>
      <c r="L24" s="3">
        <v>534.29</v>
      </c>
      <c r="M24" t="s">
        <v>27</v>
      </c>
      <c r="N24">
        <f t="shared" si="0"/>
        <v>2024</v>
      </c>
      <c r="O24" t="str">
        <f t="shared" si="1"/>
        <v>September</v>
      </c>
    </row>
    <row r="25" spans="1:15" x14ac:dyDescent="0.2">
      <c r="A25" t="s">
        <v>101</v>
      </c>
      <c r="B25" s="7">
        <v>45401</v>
      </c>
      <c r="C25" t="s">
        <v>51</v>
      </c>
      <c r="D25" t="s">
        <v>23</v>
      </c>
      <c r="E25" t="s">
        <v>38</v>
      </c>
      <c r="F25" t="s">
        <v>39</v>
      </c>
      <c r="G25" t="s">
        <v>42</v>
      </c>
      <c r="H25" t="s">
        <v>102</v>
      </c>
      <c r="I25" s="3">
        <v>280183.5</v>
      </c>
      <c r="J25">
        <v>5</v>
      </c>
      <c r="K25" s="5">
        <v>0.1</v>
      </c>
      <c r="L25" s="3">
        <v>21878.33</v>
      </c>
      <c r="M25" t="s">
        <v>40</v>
      </c>
      <c r="N25">
        <f t="shared" si="0"/>
        <v>2024</v>
      </c>
      <c r="O25" t="str">
        <f t="shared" si="1"/>
        <v>April</v>
      </c>
    </row>
    <row r="26" spans="1:15" x14ac:dyDescent="0.2">
      <c r="A26" t="s">
        <v>103</v>
      </c>
      <c r="B26" s="7">
        <v>45725</v>
      </c>
      <c r="C26" t="s">
        <v>68</v>
      </c>
      <c r="D26" t="s">
        <v>30</v>
      </c>
      <c r="E26" t="s">
        <v>104</v>
      </c>
      <c r="F26" t="s">
        <v>105</v>
      </c>
      <c r="G26" t="s">
        <v>33</v>
      </c>
      <c r="H26" t="s">
        <v>34</v>
      </c>
      <c r="I26" s="3">
        <v>84040</v>
      </c>
      <c r="J26">
        <v>5</v>
      </c>
      <c r="K26" s="5">
        <v>0</v>
      </c>
      <c r="L26" s="3">
        <v>8274.5499999999993</v>
      </c>
      <c r="M26" t="s">
        <v>20</v>
      </c>
      <c r="N26">
        <f t="shared" si="0"/>
        <v>2025</v>
      </c>
      <c r="O26" t="str">
        <f t="shared" si="1"/>
        <v>March</v>
      </c>
    </row>
    <row r="27" spans="1:15" x14ac:dyDescent="0.2">
      <c r="A27" t="s">
        <v>106</v>
      </c>
      <c r="B27" s="7">
        <v>45999</v>
      </c>
      <c r="C27" t="s">
        <v>55</v>
      </c>
      <c r="D27" t="s">
        <v>23</v>
      </c>
      <c r="E27" t="s">
        <v>79</v>
      </c>
      <c r="F27" t="s">
        <v>107</v>
      </c>
      <c r="G27" t="s">
        <v>33</v>
      </c>
      <c r="H27" t="s">
        <v>34</v>
      </c>
      <c r="I27" s="3">
        <v>298832</v>
      </c>
      <c r="J27">
        <v>8</v>
      </c>
      <c r="K27" s="5">
        <v>0</v>
      </c>
      <c r="L27" s="3">
        <v>30592.86</v>
      </c>
      <c r="M27" t="s">
        <v>35</v>
      </c>
      <c r="N27">
        <f t="shared" si="0"/>
        <v>2025</v>
      </c>
      <c r="O27" t="str">
        <f t="shared" si="1"/>
        <v>December</v>
      </c>
    </row>
    <row r="28" spans="1:15" x14ac:dyDescent="0.2">
      <c r="A28" t="s">
        <v>108</v>
      </c>
      <c r="B28" s="7">
        <v>45547</v>
      </c>
      <c r="C28" t="s">
        <v>37</v>
      </c>
      <c r="D28" t="s">
        <v>23</v>
      </c>
      <c r="E28" t="s">
        <v>79</v>
      </c>
      <c r="F28" t="s">
        <v>107</v>
      </c>
      <c r="G28" t="s">
        <v>33</v>
      </c>
      <c r="H28" t="s">
        <v>109</v>
      </c>
      <c r="I28" s="3">
        <v>19261.8</v>
      </c>
      <c r="J28">
        <v>1</v>
      </c>
      <c r="K28" s="5">
        <v>0.1</v>
      </c>
      <c r="L28" s="3">
        <v>1868.69</v>
      </c>
      <c r="M28" t="s">
        <v>27</v>
      </c>
      <c r="N28">
        <f t="shared" si="0"/>
        <v>2024</v>
      </c>
      <c r="O28" t="str">
        <f t="shared" si="1"/>
        <v>September</v>
      </c>
    </row>
    <row r="29" spans="1:15" x14ac:dyDescent="0.2">
      <c r="A29" t="s">
        <v>110</v>
      </c>
      <c r="B29" s="7">
        <v>45632</v>
      </c>
      <c r="C29" t="s">
        <v>22</v>
      </c>
      <c r="D29" t="s">
        <v>15</v>
      </c>
      <c r="E29" t="s">
        <v>61</v>
      </c>
      <c r="F29" t="s">
        <v>111</v>
      </c>
      <c r="G29" t="s">
        <v>33</v>
      </c>
      <c r="H29" t="s">
        <v>48</v>
      </c>
      <c r="I29" s="3">
        <v>572.85</v>
      </c>
      <c r="J29">
        <v>3</v>
      </c>
      <c r="K29" s="5">
        <v>0.05</v>
      </c>
      <c r="L29" s="3">
        <v>123.06</v>
      </c>
      <c r="M29" t="s">
        <v>40</v>
      </c>
      <c r="N29">
        <f t="shared" si="0"/>
        <v>2024</v>
      </c>
      <c r="O29" t="str">
        <f t="shared" si="1"/>
        <v>December</v>
      </c>
    </row>
    <row r="30" spans="1:15" x14ac:dyDescent="0.2">
      <c r="A30" t="s">
        <v>112</v>
      </c>
      <c r="B30" s="7">
        <v>45525</v>
      </c>
      <c r="C30" t="s">
        <v>76</v>
      </c>
      <c r="D30" t="s">
        <v>30</v>
      </c>
      <c r="E30" t="s">
        <v>31</v>
      </c>
      <c r="F30" t="s">
        <v>32</v>
      </c>
      <c r="G30" t="s">
        <v>18</v>
      </c>
      <c r="H30" t="s">
        <v>63</v>
      </c>
      <c r="I30" s="3">
        <v>52840.800000000003</v>
      </c>
      <c r="J30">
        <v>8</v>
      </c>
      <c r="K30" s="5">
        <v>0.1</v>
      </c>
      <c r="L30" s="3">
        <v>6131.55</v>
      </c>
      <c r="M30" t="s">
        <v>20</v>
      </c>
      <c r="N30">
        <f t="shared" si="0"/>
        <v>2024</v>
      </c>
      <c r="O30" t="str">
        <f t="shared" si="1"/>
        <v>August</v>
      </c>
    </row>
    <row r="31" spans="1:15" x14ac:dyDescent="0.2">
      <c r="A31" t="s">
        <v>113</v>
      </c>
      <c r="B31" s="7">
        <v>45841</v>
      </c>
      <c r="C31" t="s">
        <v>45</v>
      </c>
      <c r="D31" t="s">
        <v>15</v>
      </c>
      <c r="E31" t="s">
        <v>46</v>
      </c>
      <c r="F31" t="s">
        <v>47</v>
      </c>
      <c r="G31" t="s">
        <v>58</v>
      </c>
      <c r="H31" t="s">
        <v>84</v>
      </c>
      <c r="I31" s="3">
        <v>2460.8000000000002</v>
      </c>
      <c r="J31">
        <v>2</v>
      </c>
      <c r="K31" s="5">
        <v>0.2</v>
      </c>
      <c r="L31" s="3">
        <v>270.52999999999997</v>
      </c>
      <c r="M31" t="s">
        <v>20</v>
      </c>
      <c r="N31">
        <f t="shared" si="0"/>
        <v>2025</v>
      </c>
      <c r="O31" t="str">
        <f t="shared" si="1"/>
        <v>July</v>
      </c>
    </row>
    <row r="32" spans="1:15" x14ac:dyDescent="0.2">
      <c r="A32" t="s">
        <v>114</v>
      </c>
      <c r="B32" s="7">
        <v>45815</v>
      </c>
      <c r="C32" t="s">
        <v>37</v>
      </c>
      <c r="D32" t="s">
        <v>23</v>
      </c>
      <c r="E32" t="s">
        <v>79</v>
      </c>
      <c r="F32" t="s">
        <v>107</v>
      </c>
      <c r="G32" t="s">
        <v>33</v>
      </c>
      <c r="H32" t="s">
        <v>34</v>
      </c>
      <c r="I32" s="3">
        <v>72532.800000000003</v>
      </c>
      <c r="J32">
        <v>2</v>
      </c>
      <c r="K32" s="5">
        <v>0.1</v>
      </c>
      <c r="L32" s="3">
        <v>10319.879999999999</v>
      </c>
      <c r="M32" t="s">
        <v>49</v>
      </c>
      <c r="N32">
        <f t="shared" si="0"/>
        <v>2025</v>
      </c>
      <c r="O32" t="str">
        <f t="shared" si="1"/>
        <v>June</v>
      </c>
    </row>
    <row r="33" spans="1:15" x14ac:dyDescent="0.2">
      <c r="A33" t="s">
        <v>115</v>
      </c>
      <c r="B33" s="7">
        <v>45363</v>
      </c>
      <c r="C33" t="s">
        <v>45</v>
      </c>
      <c r="D33" t="s">
        <v>15</v>
      </c>
      <c r="E33" t="s">
        <v>46</v>
      </c>
      <c r="F33" t="s">
        <v>116</v>
      </c>
      <c r="G33" t="s">
        <v>42</v>
      </c>
      <c r="H33" t="s">
        <v>102</v>
      </c>
      <c r="I33" s="3">
        <v>15328.25</v>
      </c>
      <c r="J33">
        <v>7</v>
      </c>
      <c r="K33" s="5">
        <v>0.05</v>
      </c>
      <c r="L33" s="3">
        <v>2151.23</v>
      </c>
      <c r="M33" t="s">
        <v>35</v>
      </c>
      <c r="N33">
        <f t="shared" si="0"/>
        <v>2024</v>
      </c>
      <c r="O33" t="str">
        <f t="shared" si="1"/>
        <v>March</v>
      </c>
    </row>
    <row r="34" spans="1:15" x14ac:dyDescent="0.2">
      <c r="A34" t="s">
        <v>117</v>
      </c>
      <c r="B34" s="7">
        <v>45722</v>
      </c>
      <c r="C34" t="s">
        <v>22</v>
      </c>
      <c r="D34" t="s">
        <v>30</v>
      </c>
      <c r="E34" t="s">
        <v>52</v>
      </c>
      <c r="F34" t="s">
        <v>118</v>
      </c>
      <c r="G34" t="s">
        <v>42</v>
      </c>
      <c r="H34" t="s">
        <v>119</v>
      </c>
      <c r="I34" s="3">
        <v>78316</v>
      </c>
      <c r="J34">
        <v>7</v>
      </c>
      <c r="K34" s="5">
        <v>0.2</v>
      </c>
      <c r="L34" s="3">
        <v>4343.21</v>
      </c>
      <c r="M34" t="s">
        <v>40</v>
      </c>
      <c r="N34">
        <f t="shared" si="0"/>
        <v>2025</v>
      </c>
      <c r="O34" t="str">
        <f t="shared" si="1"/>
        <v>March</v>
      </c>
    </row>
    <row r="35" spans="1:15" x14ac:dyDescent="0.2">
      <c r="A35" t="s">
        <v>120</v>
      </c>
      <c r="B35" s="7">
        <v>45913</v>
      </c>
      <c r="C35" t="s">
        <v>45</v>
      </c>
      <c r="D35" t="s">
        <v>15</v>
      </c>
      <c r="E35" t="s">
        <v>56</v>
      </c>
      <c r="F35" t="s">
        <v>100</v>
      </c>
      <c r="G35" t="s">
        <v>42</v>
      </c>
      <c r="H35" t="s">
        <v>43</v>
      </c>
      <c r="I35" s="3">
        <v>816</v>
      </c>
      <c r="J35">
        <v>1</v>
      </c>
      <c r="K35" s="5">
        <v>0.15</v>
      </c>
      <c r="L35" s="3">
        <v>162.91999999999999</v>
      </c>
      <c r="M35" t="s">
        <v>49</v>
      </c>
      <c r="N35">
        <f t="shared" si="0"/>
        <v>2025</v>
      </c>
      <c r="O35" t="str">
        <f t="shared" si="1"/>
        <v>September</v>
      </c>
    </row>
    <row r="36" spans="1:15" x14ac:dyDescent="0.2">
      <c r="A36" t="s">
        <v>121</v>
      </c>
      <c r="B36" s="7">
        <v>45926</v>
      </c>
      <c r="C36" t="s">
        <v>45</v>
      </c>
      <c r="D36" t="s">
        <v>30</v>
      </c>
      <c r="E36" t="s">
        <v>122</v>
      </c>
      <c r="F36" t="s">
        <v>123</v>
      </c>
      <c r="G36" t="s">
        <v>33</v>
      </c>
      <c r="H36" t="s">
        <v>109</v>
      </c>
      <c r="I36" s="3">
        <v>8587.2000000000007</v>
      </c>
      <c r="J36">
        <v>3</v>
      </c>
      <c r="K36" s="5">
        <v>0.2</v>
      </c>
      <c r="L36" s="3">
        <v>1397.75</v>
      </c>
      <c r="M36" t="s">
        <v>20</v>
      </c>
      <c r="N36">
        <f t="shared" si="0"/>
        <v>2025</v>
      </c>
      <c r="O36" t="str">
        <f t="shared" si="1"/>
        <v>September</v>
      </c>
    </row>
    <row r="37" spans="1:15" x14ac:dyDescent="0.2">
      <c r="A37" t="s">
        <v>124</v>
      </c>
      <c r="B37" s="7">
        <v>45366</v>
      </c>
      <c r="C37" t="s">
        <v>29</v>
      </c>
      <c r="D37" t="s">
        <v>23</v>
      </c>
      <c r="E37" t="s">
        <v>79</v>
      </c>
      <c r="F37" t="s">
        <v>107</v>
      </c>
      <c r="G37" t="s">
        <v>33</v>
      </c>
      <c r="H37" t="s">
        <v>48</v>
      </c>
      <c r="I37" s="3">
        <v>3382.4</v>
      </c>
      <c r="J37">
        <v>1</v>
      </c>
      <c r="K37" s="5">
        <v>0.2</v>
      </c>
      <c r="L37" s="3">
        <v>676.3</v>
      </c>
      <c r="M37" t="s">
        <v>49</v>
      </c>
      <c r="N37">
        <f t="shared" si="0"/>
        <v>2024</v>
      </c>
      <c r="O37" t="str">
        <f t="shared" si="1"/>
        <v>March</v>
      </c>
    </row>
    <row r="38" spans="1:15" x14ac:dyDescent="0.2">
      <c r="A38" t="s">
        <v>125</v>
      </c>
      <c r="B38" s="7">
        <v>45516</v>
      </c>
      <c r="C38" t="s">
        <v>55</v>
      </c>
      <c r="D38" t="s">
        <v>15</v>
      </c>
      <c r="E38" t="s">
        <v>56</v>
      </c>
      <c r="F38" t="s">
        <v>57</v>
      </c>
      <c r="G38" t="s">
        <v>33</v>
      </c>
      <c r="H38" t="s">
        <v>109</v>
      </c>
      <c r="I38" s="3">
        <v>854</v>
      </c>
      <c r="J38">
        <v>7</v>
      </c>
      <c r="K38" s="5">
        <v>0</v>
      </c>
      <c r="L38" s="3">
        <v>201.27</v>
      </c>
      <c r="M38" t="s">
        <v>35</v>
      </c>
      <c r="N38">
        <f t="shared" si="0"/>
        <v>2024</v>
      </c>
      <c r="O38" t="str">
        <f t="shared" si="1"/>
        <v>August</v>
      </c>
    </row>
    <row r="39" spans="1:15" x14ac:dyDescent="0.2">
      <c r="A39" t="s">
        <v>126</v>
      </c>
      <c r="B39" s="7">
        <v>45745</v>
      </c>
      <c r="C39" t="s">
        <v>90</v>
      </c>
      <c r="D39" t="s">
        <v>30</v>
      </c>
      <c r="E39" t="s">
        <v>52</v>
      </c>
      <c r="F39" t="s">
        <v>127</v>
      </c>
      <c r="G39" t="s">
        <v>33</v>
      </c>
      <c r="H39" t="s">
        <v>128</v>
      </c>
      <c r="I39" s="3">
        <v>38460</v>
      </c>
      <c r="J39">
        <v>3</v>
      </c>
      <c r="K39" s="5">
        <v>0.2</v>
      </c>
      <c r="L39" s="3">
        <v>5734.02</v>
      </c>
      <c r="M39" t="s">
        <v>35</v>
      </c>
      <c r="N39">
        <f t="shared" si="0"/>
        <v>2025</v>
      </c>
      <c r="O39" t="str">
        <f t="shared" si="1"/>
        <v>March</v>
      </c>
    </row>
    <row r="40" spans="1:15" x14ac:dyDescent="0.2">
      <c r="A40" t="s">
        <v>129</v>
      </c>
      <c r="B40" s="7">
        <v>45825</v>
      </c>
      <c r="C40" t="s">
        <v>29</v>
      </c>
      <c r="D40" t="s">
        <v>30</v>
      </c>
      <c r="E40" t="s">
        <v>72</v>
      </c>
      <c r="F40" t="s">
        <v>73</v>
      </c>
      <c r="G40" t="s">
        <v>58</v>
      </c>
      <c r="H40" t="s">
        <v>74</v>
      </c>
      <c r="I40" s="3">
        <v>66909.600000000006</v>
      </c>
      <c r="J40">
        <v>8</v>
      </c>
      <c r="K40" s="5">
        <v>0.1</v>
      </c>
      <c r="L40" s="3">
        <v>13928.09</v>
      </c>
      <c r="M40" t="s">
        <v>40</v>
      </c>
      <c r="N40">
        <f t="shared" si="0"/>
        <v>2025</v>
      </c>
      <c r="O40" t="str">
        <f t="shared" si="1"/>
        <v>June</v>
      </c>
    </row>
    <row r="41" spans="1:15" x14ac:dyDescent="0.2">
      <c r="A41" t="s">
        <v>130</v>
      </c>
      <c r="B41" s="7">
        <v>45528</v>
      </c>
      <c r="C41" t="s">
        <v>22</v>
      </c>
      <c r="D41" t="s">
        <v>30</v>
      </c>
      <c r="E41" t="s">
        <v>122</v>
      </c>
      <c r="F41" t="s">
        <v>131</v>
      </c>
      <c r="G41" t="s">
        <v>18</v>
      </c>
      <c r="H41" t="s">
        <v>19</v>
      </c>
      <c r="I41" s="3">
        <v>56380</v>
      </c>
      <c r="J41">
        <v>5</v>
      </c>
      <c r="K41" s="5">
        <v>0</v>
      </c>
      <c r="L41" s="3">
        <v>6070.71</v>
      </c>
      <c r="M41" t="s">
        <v>40</v>
      </c>
      <c r="N41">
        <f t="shared" si="0"/>
        <v>2024</v>
      </c>
      <c r="O41" t="str">
        <f t="shared" si="1"/>
        <v>August</v>
      </c>
    </row>
    <row r="42" spans="1:15" x14ac:dyDescent="0.2">
      <c r="A42" t="s">
        <v>132</v>
      </c>
      <c r="B42" s="7">
        <v>45722</v>
      </c>
      <c r="C42" t="s">
        <v>22</v>
      </c>
      <c r="D42" t="s">
        <v>15</v>
      </c>
      <c r="E42" t="s">
        <v>46</v>
      </c>
      <c r="F42" t="s">
        <v>47</v>
      </c>
      <c r="G42" t="s">
        <v>18</v>
      </c>
      <c r="H42" t="s">
        <v>63</v>
      </c>
      <c r="I42" s="3">
        <v>10818</v>
      </c>
      <c r="J42">
        <v>6</v>
      </c>
      <c r="K42" s="5">
        <v>0</v>
      </c>
      <c r="L42" s="3">
        <v>1312.95</v>
      </c>
      <c r="M42" t="s">
        <v>35</v>
      </c>
      <c r="N42">
        <f t="shared" si="0"/>
        <v>2025</v>
      </c>
      <c r="O42" t="str">
        <f t="shared" si="1"/>
        <v>March</v>
      </c>
    </row>
    <row r="43" spans="1:15" x14ac:dyDescent="0.2">
      <c r="A43" t="s">
        <v>133</v>
      </c>
      <c r="B43" s="7">
        <v>45851</v>
      </c>
      <c r="C43" t="s">
        <v>90</v>
      </c>
      <c r="D43" t="s">
        <v>15</v>
      </c>
      <c r="E43" t="s">
        <v>16</v>
      </c>
      <c r="F43" t="s">
        <v>17</v>
      </c>
      <c r="G43" t="s">
        <v>58</v>
      </c>
      <c r="H43" t="s">
        <v>59</v>
      </c>
      <c r="I43" s="3">
        <v>8716.7999999999993</v>
      </c>
      <c r="J43">
        <v>6</v>
      </c>
      <c r="K43" s="5">
        <v>0.2</v>
      </c>
      <c r="L43" s="3">
        <v>1564.69</v>
      </c>
      <c r="M43" t="s">
        <v>40</v>
      </c>
      <c r="N43">
        <f t="shared" si="0"/>
        <v>2025</v>
      </c>
      <c r="O43" t="str">
        <f t="shared" si="1"/>
        <v>July</v>
      </c>
    </row>
    <row r="44" spans="1:15" x14ac:dyDescent="0.2">
      <c r="A44" t="s">
        <v>134</v>
      </c>
      <c r="B44" s="7">
        <v>45422</v>
      </c>
      <c r="C44" t="s">
        <v>90</v>
      </c>
      <c r="D44" t="s">
        <v>30</v>
      </c>
      <c r="E44" t="s">
        <v>31</v>
      </c>
      <c r="F44" t="s">
        <v>97</v>
      </c>
      <c r="G44" t="s">
        <v>42</v>
      </c>
      <c r="H44" t="s">
        <v>43</v>
      </c>
      <c r="I44" s="3">
        <v>11223.3</v>
      </c>
      <c r="J44">
        <v>1</v>
      </c>
      <c r="K44" s="5">
        <v>0.05</v>
      </c>
      <c r="L44" s="3">
        <v>2644.22</v>
      </c>
      <c r="M44" t="s">
        <v>35</v>
      </c>
      <c r="N44">
        <f t="shared" si="0"/>
        <v>2024</v>
      </c>
      <c r="O44" t="str">
        <f t="shared" si="1"/>
        <v>May</v>
      </c>
    </row>
    <row r="45" spans="1:15" x14ac:dyDescent="0.2">
      <c r="A45" t="s">
        <v>135</v>
      </c>
      <c r="B45" s="7">
        <v>45627</v>
      </c>
      <c r="C45" t="s">
        <v>76</v>
      </c>
      <c r="D45" t="s">
        <v>23</v>
      </c>
      <c r="E45" t="s">
        <v>38</v>
      </c>
      <c r="F45" t="s">
        <v>39</v>
      </c>
      <c r="G45" t="s">
        <v>18</v>
      </c>
      <c r="H45" t="s">
        <v>70</v>
      </c>
      <c r="I45" s="3">
        <v>70651</v>
      </c>
      <c r="J45">
        <v>7</v>
      </c>
      <c r="K45" s="5">
        <v>0</v>
      </c>
      <c r="L45" s="3">
        <v>9328.14</v>
      </c>
      <c r="M45" t="s">
        <v>49</v>
      </c>
      <c r="N45">
        <f t="shared" si="0"/>
        <v>2024</v>
      </c>
      <c r="O45" t="str">
        <f t="shared" si="1"/>
        <v>December</v>
      </c>
    </row>
    <row r="46" spans="1:15" x14ac:dyDescent="0.2">
      <c r="A46" t="s">
        <v>136</v>
      </c>
      <c r="B46" s="7">
        <v>45345</v>
      </c>
      <c r="C46" t="s">
        <v>45</v>
      </c>
      <c r="D46" t="s">
        <v>30</v>
      </c>
      <c r="E46" t="s">
        <v>104</v>
      </c>
      <c r="F46" t="s">
        <v>137</v>
      </c>
      <c r="G46" t="s">
        <v>58</v>
      </c>
      <c r="H46" t="s">
        <v>84</v>
      </c>
      <c r="I46" s="3">
        <v>17415</v>
      </c>
      <c r="J46">
        <v>5</v>
      </c>
      <c r="K46" s="5">
        <v>0</v>
      </c>
      <c r="L46" s="3">
        <v>4002.05</v>
      </c>
      <c r="M46" t="s">
        <v>40</v>
      </c>
      <c r="N46">
        <f t="shared" si="0"/>
        <v>2024</v>
      </c>
      <c r="O46" t="str">
        <f t="shared" si="1"/>
        <v>February</v>
      </c>
    </row>
    <row r="47" spans="1:15" x14ac:dyDescent="0.2">
      <c r="A47" t="s">
        <v>138</v>
      </c>
      <c r="B47" s="7">
        <v>45977</v>
      </c>
      <c r="C47" t="s">
        <v>37</v>
      </c>
      <c r="D47" t="s">
        <v>15</v>
      </c>
      <c r="E47" t="s">
        <v>16</v>
      </c>
      <c r="F47" t="s">
        <v>17</v>
      </c>
      <c r="G47" t="s">
        <v>18</v>
      </c>
      <c r="H47" t="s">
        <v>70</v>
      </c>
      <c r="I47" s="3">
        <v>2751.2</v>
      </c>
      <c r="J47">
        <v>4</v>
      </c>
      <c r="K47" s="5">
        <v>0.05</v>
      </c>
      <c r="L47" s="3">
        <v>255.16</v>
      </c>
      <c r="M47" t="s">
        <v>35</v>
      </c>
      <c r="N47">
        <f t="shared" si="0"/>
        <v>2025</v>
      </c>
      <c r="O47" t="str">
        <f t="shared" si="1"/>
        <v>November</v>
      </c>
    </row>
    <row r="48" spans="1:15" x14ac:dyDescent="0.2">
      <c r="A48" t="s">
        <v>139</v>
      </c>
      <c r="B48" s="7">
        <v>45611</v>
      </c>
      <c r="C48" t="s">
        <v>90</v>
      </c>
      <c r="D48" t="s">
        <v>23</v>
      </c>
      <c r="E48" t="s">
        <v>38</v>
      </c>
      <c r="F48" t="s">
        <v>140</v>
      </c>
      <c r="G48" t="s">
        <v>42</v>
      </c>
      <c r="H48" t="s">
        <v>119</v>
      </c>
      <c r="I48" s="3">
        <v>104346</v>
      </c>
      <c r="J48">
        <v>2</v>
      </c>
      <c r="K48" s="5">
        <v>0</v>
      </c>
      <c r="L48" s="3">
        <v>20424.37</v>
      </c>
      <c r="M48" t="s">
        <v>49</v>
      </c>
      <c r="N48">
        <f t="shared" si="0"/>
        <v>2024</v>
      </c>
      <c r="O48" t="str">
        <f t="shared" si="1"/>
        <v>November</v>
      </c>
    </row>
    <row r="49" spans="1:15" x14ac:dyDescent="0.2">
      <c r="A49" t="s">
        <v>141</v>
      </c>
      <c r="B49" s="7">
        <v>45730</v>
      </c>
      <c r="C49" t="s">
        <v>45</v>
      </c>
      <c r="D49" t="s">
        <v>30</v>
      </c>
      <c r="E49" t="s">
        <v>31</v>
      </c>
      <c r="F49" t="s">
        <v>32</v>
      </c>
      <c r="G49" t="s">
        <v>18</v>
      </c>
      <c r="H49" t="s">
        <v>26</v>
      </c>
      <c r="I49" s="3">
        <v>23830</v>
      </c>
      <c r="J49">
        <v>5</v>
      </c>
      <c r="K49" s="5">
        <v>0</v>
      </c>
      <c r="L49" s="3">
        <v>3561.17</v>
      </c>
      <c r="M49" t="s">
        <v>20</v>
      </c>
      <c r="N49">
        <f t="shared" si="0"/>
        <v>2025</v>
      </c>
      <c r="O49" t="str">
        <f t="shared" si="1"/>
        <v>March</v>
      </c>
    </row>
    <row r="50" spans="1:15" x14ac:dyDescent="0.2">
      <c r="A50" t="s">
        <v>142</v>
      </c>
      <c r="B50" s="7">
        <v>45826</v>
      </c>
      <c r="C50" t="s">
        <v>68</v>
      </c>
      <c r="D50" t="s">
        <v>15</v>
      </c>
      <c r="E50" t="s">
        <v>65</v>
      </c>
      <c r="F50" t="s">
        <v>66</v>
      </c>
      <c r="G50" t="s">
        <v>18</v>
      </c>
      <c r="H50" t="s">
        <v>63</v>
      </c>
      <c r="I50" s="3">
        <v>3767.7</v>
      </c>
      <c r="J50">
        <v>2</v>
      </c>
      <c r="K50" s="5">
        <v>0.05</v>
      </c>
      <c r="L50" s="3">
        <v>582.48</v>
      </c>
      <c r="M50" t="s">
        <v>35</v>
      </c>
      <c r="N50">
        <f t="shared" si="0"/>
        <v>2025</v>
      </c>
      <c r="O50" t="str">
        <f t="shared" si="1"/>
        <v>June</v>
      </c>
    </row>
    <row r="51" spans="1:15" x14ac:dyDescent="0.2">
      <c r="A51" t="s">
        <v>143</v>
      </c>
      <c r="B51" s="7">
        <v>45541</v>
      </c>
      <c r="C51" t="s">
        <v>29</v>
      </c>
      <c r="D51" t="s">
        <v>15</v>
      </c>
      <c r="E51" t="s">
        <v>61</v>
      </c>
      <c r="F51" t="s">
        <v>144</v>
      </c>
      <c r="G51" t="s">
        <v>58</v>
      </c>
      <c r="H51" t="s">
        <v>59</v>
      </c>
      <c r="I51" s="3">
        <v>2043</v>
      </c>
      <c r="J51">
        <v>5</v>
      </c>
      <c r="K51" s="5">
        <v>0.1</v>
      </c>
      <c r="L51" s="3">
        <v>472.6</v>
      </c>
      <c r="M51" t="s">
        <v>35</v>
      </c>
      <c r="N51">
        <f t="shared" si="0"/>
        <v>2024</v>
      </c>
      <c r="O51" t="str">
        <f t="shared" si="1"/>
        <v>September</v>
      </c>
    </row>
    <row r="52" spans="1:15" x14ac:dyDescent="0.2">
      <c r="A52" t="s">
        <v>145</v>
      </c>
      <c r="B52" s="7">
        <v>45640</v>
      </c>
      <c r="C52" t="s">
        <v>68</v>
      </c>
      <c r="D52" t="s">
        <v>15</v>
      </c>
      <c r="E52" t="s">
        <v>61</v>
      </c>
      <c r="F52" t="s">
        <v>62</v>
      </c>
      <c r="G52" t="s">
        <v>42</v>
      </c>
      <c r="H52" t="s">
        <v>102</v>
      </c>
      <c r="I52" s="3">
        <v>5227.2</v>
      </c>
      <c r="J52">
        <v>6</v>
      </c>
      <c r="K52" s="5">
        <v>0.1</v>
      </c>
      <c r="L52" s="3">
        <v>1121.58</v>
      </c>
      <c r="M52" t="s">
        <v>35</v>
      </c>
      <c r="N52">
        <f t="shared" si="0"/>
        <v>2024</v>
      </c>
      <c r="O52" t="str">
        <f t="shared" si="1"/>
        <v>December</v>
      </c>
    </row>
    <row r="53" spans="1:15" x14ac:dyDescent="0.2">
      <c r="A53" t="s">
        <v>146</v>
      </c>
      <c r="B53" s="7">
        <v>45999</v>
      </c>
      <c r="C53" t="s">
        <v>29</v>
      </c>
      <c r="D53" t="s">
        <v>15</v>
      </c>
      <c r="E53" t="s">
        <v>65</v>
      </c>
      <c r="F53" t="s">
        <v>147</v>
      </c>
      <c r="G53" t="s">
        <v>18</v>
      </c>
      <c r="H53" t="s">
        <v>26</v>
      </c>
      <c r="I53" s="3">
        <v>6723.2</v>
      </c>
      <c r="J53">
        <v>4</v>
      </c>
      <c r="K53" s="5">
        <v>0.2</v>
      </c>
      <c r="L53" s="3">
        <v>1221.1500000000001</v>
      </c>
      <c r="M53" t="s">
        <v>49</v>
      </c>
      <c r="N53">
        <f t="shared" si="0"/>
        <v>2025</v>
      </c>
      <c r="O53" t="str">
        <f t="shared" si="1"/>
        <v>December</v>
      </c>
    </row>
    <row r="54" spans="1:15" x14ac:dyDescent="0.2">
      <c r="A54" t="s">
        <v>148</v>
      </c>
      <c r="B54" s="7">
        <v>45858</v>
      </c>
      <c r="C54" t="s">
        <v>51</v>
      </c>
      <c r="D54" t="s">
        <v>30</v>
      </c>
      <c r="E54" t="s">
        <v>52</v>
      </c>
      <c r="F54" t="s">
        <v>53</v>
      </c>
      <c r="G54" t="s">
        <v>18</v>
      </c>
      <c r="H54" t="s">
        <v>19</v>
      </c>
      <c r="I54" s="3">
        <v>49123.199999999997</v>
      </c>
      <c r="J54">
        <v>7</v>
      </c>
      <c r="K54" s="5">
        <v>0.2</v>
      </c>
      <c r="L54" s="3">
        <v>5099.1899999999996</v>
      </c>
      <c r="M54" t="s">
        <v>27</v>
      </c>
      <c r="N54">
        <f t="shared" si="0"/>
        <v>2025</v>
      </c>
      <c r="O54" t="str">
        <f t="shared" si="1"/>
        <v>July</v>
      </c>
    </row>
    <row r="55" spans="1:15" x14ac:dyDescent="0.2">
      <c r="A55" t="s">
        <v>149</v>
      </c>
      <c r="B55" s="7">
        <v>45489</v>
      </c>
      <c r="C55" t="s">
        <v>45</v>
      </c>
      <c r="D55" t="s">
        <v>30</v>
      </c>
      <c r="E55" t="s">
        <v>72</v>
      </c>
      <c r="F55" t="s">
        <v>73</v>
      </c>
      <c r="G55" t="s">
        <v>42</v>
      </c>
      <c r="H55" t="s">
        <v>119</v>
      </c>
      <c r="I55" s="3">
        <v>82437.2</v>
      </c>
      <c r="J55">
        <v>8</v>
      </c>
      <c r="K55" s="5">
        <v>0.05</v>
      </c>
      <c r="L55" s="3">
        <v>7553.82</v>
      </c>
      <c r="M55" t="s">
        <v>20</v>
      </c>
      <c r="N55">
        <f t="shared" si="0"/>
        <v>2024</v>
      </c>
      <c r="O55" t="str">
        <f t="shared" si="1"/>
        <v>July</v>
      </c>
    </row>
    <row r="56" spans="1:15" x14ac:dyDescent="0.2">
      <c r="A56" t="s">
        <v>150</v>
      </c>
      <c r="B56" s="7">
        <v>45595</v>
      </c>
      <c r="C56" t="s">
        <v>76</v>
      </c>
      <c r="D56" t="s">
        <v>15</v>
      </c>
      <c r="E56" t="s">
        <v>56</v>
      </c>
      <c r="F56" t="s">
        <v>88</v>
      </c>
      <c r="G56" t="s">
        <v>33</v>
      </c>
      <c r="H56" t="s">
        <v>48</v>
      </c>
      <c r="I56" s="3">
        <v>10072</v>
      </c>
      <c r="J56">
        <v>8</v>
      </c>
      <c r="K56" s="5">
        <v>0</v>
      </c>
      <c r="L56" s="3">
        <v>2483.0100000000002</v>
      </c>
      <c r="M56" t="s">
        <v>27</v>
      </c>
      <c r="N56">
        <f t="shared" si="0"/>
        <v>2024</v>
      </c>
      <c r="O56" t="str">
        <f t="shared" si="1"/>
        <v>October</v>
      </c>
    </row>
    <row r="57" spans="1:15" x14ac:dyDescent="0.2">
      <c r="A57" t="s">
        <v>151</v>
      </c>
      <c r="B57" s="7">
        <v>45304</v>
      </c>
      <c r="C57" t="s">
        <v>90</v>
      </c>
      <c r="D57" t="s">
        <v>23</v>
      </c>
      <c r="E57" t="s">
        <v>79</v>
      </c>
      <c r="F57" t="s">
        <v>80</v>
      </c>
      <c r="G57" t="s">
        <v>18</v>
      </c>
      <c r="H57" t="s">
        <v>26</v>
      </c>
      <c r="I57" s="3">
        <v>4057.05</v>
      </c>
      <c r="J57">
        <v>1</v>
      </c>
      <c r="K57" s="5">
        <v>0.15</v>
      </c>
      <c r="L57" s="3">
        <v>255.67</v>
      </c>
      <c r="M57" t="s">
        <v>27</v>
      </c>
      <c r="N57">
        <f t="shared" si="0"/>
        <v>2024</v>
      </c>
      <c r="O57" t="str">
        <f t="shared" si="1"/>
        <v>January</v>
      </c>
    </row>
    <row r="58" spans="1:15" x14ac:dyDescent="0.2">
      <c r="A58" t="s">
        <v>152</v>
      </c>
      <c r="B58" s="7">
        <v>45367</v>
      </c>
      <c r="C58" t="s">
        <v>90</v>
      </c>
      <c r="D58" t="s">
        <v>30</v>
      </c>
      <c r="E58" t="s">
        <v>122</v>
      </c>
      <c r="F58" t="s">
        <v>131</v>
      </c>
      <c r="G58" t="s">
        <v>58</v>
      </c>
      <c r="H58" t="s">
        <v>84</v>
      </c>
      <c r="I58" s="3">
        <v>16454</v>
      </c>
      <c r="J58">
        <v>1</v>
      </c>
      <c r="K58" s="5">
        <v>0</v>
      </c>
      <c r="L58" s="3">
        <v>2634.97</v>
      </c>
      <c r="M58" t="s">
        <v>20</v>
      </c>
      <c r="N58">
        <f t="shared" si="0"/>
        <v>2024</v>
      </c>
      <c r="O58" t="str">
        <f t="shared" si="1"/>
        <v>March</v>
      </c>
    </row>
    <row r="59" spans="1:15" x14ac:dyDescent="0.2">
      <c r="A59" t="s">
        <v>153</v>
      </c>
      <c r="B59" s="7">
        <v>45745</v>
      </c>
      <c r="C59" t="s">
        <v>68</v>
      </c>
      <c r="D59" t="s">
        <v>23</v>
      </c>
      <c r="E59" t="s">
        <v>24</v>
      </c>
      <c r="F59" t="s">
        <v>77</v>
      </c>
      <c r="G59" t="s">
        <v>42</v>
      </c>
      <c r="H59" t="s">
        <v>102</v>
      </c>
      <c r="I59" s="3">
        <v>60436.800000000003</v>
      </c>
      <c r="J59">
        <v>2</v>
      </c>
      <c r="K59" s="5">
        <v>0.2</v>
      </c>
      <c r="L59" s="3">
        <v>6410.87</v>
      </c>
      <c r="M59" t="s">
        <v>35</v>
      </c>
      <c r="N59">
        <f t="shared" si="0"/>
        <v>2025</v>
      </c>
      <c r="O59" t="str">
        <f t="shared" si="1"/>
        <v>March</v>
      </c>
    </row>
    <row r="60" spans="1:15" x14ac:dyDescent="0.2">
      <c r="A60" t="s">
        <v>154</v>
      </c>
      <c r="B60" s="7">
        <v>45368</v>
      </c>
      <c r="C60" t="s">
        <v>55</v>
      </c>
      <c r="D60" t="s">
        <v>30</v>
      </c>
      <c r="E60" t="s">
        <v>104</v>
      </c>
      <c r="F60" t="s">
        <v>105</v>
      </c>
      <c r="G60" t="s">
        <v>18</v>
      </c>
      <c r="H60" t="s">
        <v>70</v>
      </c>
      <c r="I60" s="3">
        <v>13148</v>
      </c>
      <c r="J60">
        <v>4</v>
      </c>
      <c r="K60" s="5">
        <v>0.05</v>
      </c>
      <c r="L60" s="3">
        <v>1344.55</v>
      </c>
      <c r="M60" t="s">
        <v>20</v>
      </c>
      <c r="N60">
        <f t="shared" si="0"/>
        <v>2024</v>
      </c>
      <c r="O60" t="str">
        <f t="shared" si="1"/>
        <v>March</v>
      </c>
    </row>
    <row r="61" spans="1:15" x14ac:dyDescent="0.2">
      <c r="A61" t="s">
        <v>155</v>
      </c>
      <c r="B61" s="7">
        <v>45562</v>
      </c>
      <c r="C61" t="s">
        <v>90</v>
      </c>
      <c r="D61" t="s">
        <v>30</v>
      </c>
      <c r="E61" t="s">
        <v>122</v>
      </c>
      <c r="F61" t="s">
        <v>131</v>
      </c>
      <c r="G61" t="s">
        <v>58</v>
      </c>
      <c r="H61" t="s">
        <v>84</v>
      </c>
      <c r="I61" s="3">
        <v>40256</v>
      </c>
      <c r="J61">
        <v>4</v>
      </c>
      <c r="K61" s="5">
        <v>0</v>
      </c>
      <c r="L61" s="3">
        <v>8754.75</v>
      </c>
      <c r="M61" t="s">
        <v>40</v>
      </c>
      <c r="N61">
        <f t="shared" si="0"/>
        <v>2024</v>
      </c>
      <c r="O61" t="str">
        <f t="shared" si="1"/>
        <v>September</v>
      </c>
    </row>
    <row r="62" spans="1:15" x14ac:dyDescent="0.2">
      <c r="A62" t="s">
        <v>156</v>
      </c>
      <c r="B62" s="7">
        <v>45874</v>
      </c>
      <c r="C62" t="s">
        <v>68</v>
      </c>
      <c r="D62" t="s">
        <v>30</v>
      </c>
      <c r="E62" t="s">
        <v>52</v>
      </c>
      <c r="F62" t="s">
        <v>127</v>
      </c>
      <c r="G62" t="s">
        <v>33</v>
      </c>
      <c r="H62" t="s">
        <v>48</v>
      </c>
      <c r="I62" s="3">
        <v>7435.8</v>
      </c>
      <c r="J62">
        <v>3</v>
      </c>
      <c r="K62" s="5">
        <v>0.1</v>
      </c>
      <c r="L62" s="3">
        <v>1293.8900000000001</v>
      </c>
      <c r="M62" t="s">
        <v>49</v>
      </c>
      <c r="N62">
        <f t="shared" si="0"/>
        <v>2025</v>
      </c>
      <c r="O62" t="str">
        <f t="shared" si="1"/>
        <v>August</v>
      </c>
    </row>
    <row r="63" spans="1:15" x14ac:dyDescent="0.2">
      <c r="A63" t="s">
        <v>157</v>
      </c>
      <c r="B63" s="7">
        <v>45910</v>
      </c>
      <c r="C63" t="s">
        <v>68</v>
      </c>
      <c r="D63" t="s">
        <v>23</v>
      </c>
      <c r="E63" t="s">
        <v>38</v>
      </c>
      <c r="F63" t="s">
        <v>91</v>
      </c>
      <c r="G63" t="s">
        <v>42</v>
      </c>
      <c r="H63" t="s">
        <v>43</v>
      </c>
      <c r="I63" s="3">
        <v>203238.39999999999</v>
      </c>
      <c r="J63">
        <v>8</v>
      </c>
      <c r="K63" s="5">
        <v>0.15</v>
      </c>
      <c r="L63" s="3">
        <v>38494.730000000003</v>
      </c>
      <c r="M63" t="s">
        <v>20</v>
      </c>
      <c r="N63">
        <f t="shared" si="0"/>
        <v>2025</v>
      </c>
      <c r="O63" t="str">
        <f t="shared" si="1"/>
        <v>September</v>
      </c>
    </row>
    <row r="64" spans="1:15" x14ac:dyDescent="0.2">
      <c r="A64" t="s">
        <v>158</v>
      </c>
      <c r="B64" s="7">
        <v>45576</v>
      </c>
      <c r="C64" t="s">
        <v>55</v>
      </c>
      <c r="D64" t="s">
        <v>23</v>
      </c>
      <c r="E64" t="s">
        <v>24</v>
      </c>
      <c r="F64" t="s">
        <v>25</v>
      </c>
      <c r="G64" t="s">
        <v>18</v>
      </c>
      <c r="H64" t="s">
        <v>19</v>
      </c>
      <c r="I64" s="3">
        <v>40968.800000000003</v>
      </c>
      <c r="J64">
        <v>1</v>
      </c>
      <c r="K64" s="5">
        <v>0.2</v>
      </c>
      <c r="L64" s="3">
        <v>6567.38</v>
      </c>
      <c r="M64" t="s">
        <v>35</v>
      </c>
      <c r="N64">
        <f t="shared" si="0"/>
        <v>2024</v>
      </c>
      <c r="O64" t="str">
        <f t="shared" si="1"/>
        <v>October</v>
      </c>
    </row>
    <row r="65" spans="1:15" x14ac:dyDescent="0.2">
      <c r="A65" t="s">
        <v>159</v>
      </c>
      <c r="B65" s="7">
        <v>46002</v>
      </c>
      <c r="C65" t="s">
        <v>29</v>
      </c>
      <c r="D65" t="s">
        <v>30</v>
      </c>
      <c r="E65" t="s">
        <v>122</v>
      </c>
      <c r="F65" t="s">
        <v>160</v>
      </c>
      <c r="G65" t="s">
        <v>18</v>
      </c>
      <c r="H65" t="s">
        <v>63</v>
      </c>
      <c r="I65" s="3">
        <v>75278</v>
      </c>
      <c r="J65">
        <v>7</v>
      </c>
      <c r="K65" s="5">
        <v>0.05</v>
      </c>
      <c r="L65" s="3">
        <v>10046.66</v>
      </c>
      <c r="M65" t="s">
        <v>27</v>
      </c>
      <c r="N65">
        <f t="shared" si="0"/>
        <v>2025</v>
      </c>
      <c r="O65" t="str">
        <f t="shared" si="1"/>
        <v>December</v>
      </c>
    </row>
    <row r="66" spans="1:15" x14ac:dyDescent="0.2">
      <c r="A66" t="s">
        <v>161</v>
      </c>
      <c r="B66" s="7">
        <v>45293</v>
      </c>
      <c r="C66" t="s">
        <v>51</v>
      </c>
      <c r="D66" t="s">
        <v>15</v>
      </c>
      <c r="E66" t="s">
        <v>61</v>
      </c>
      <c r="F66" t="s">
        <v>111</v>
      </c>
      <c r="G66" t="s">
        <v>18</v>
      </c>
      <c r="H66" t="s">
        <v>63</v>
      </c>
      <c r="I66" s="3">
        <v>2927.4</v>
      </c>
      <c r="J66">
        <v>6</v>
      </c>
      <c r="K66" s="5">
        <v>0.15</v>
      </c>
      <c r="L66" s="3">
        <v>630.79999999999995</v>
      </c>
      <c r="M66" t="s">
        <v>49</v>
      </c>
      <c r="N66">
        <f t="shared" ref="N66:N129" si="2">YEAR(B66)</f>
        <v>2024</v>
      </c>
      <c r="O66" t="str">
        <f t="shared" ref="O66:O129" si="3">TEXT(B66,"mmmm")</f>
        <v>January</v>
      </c>
    </row>
    <row r="67" spans="1:15" x14ac:dyDescent="0.2">
      <c r="A67" t="s">
        <v>162</v>
      </c>
      <c r="B67" s="7">
        <v>45426</v>
      </c>
      <c r="C67" t="s">
        <v>68</v>
      </c>
      <c r="D67" t="s">
        <v>30</v>
      </c>
      <c r="E67" t="s">
        <v>52</v>
      </c>
      <c r="F67" t="s">
        <v>118</v>
      </c>
      <c r="G67" t="s">
        <v>33</v>
      </c>
      <c r="H67" t="s">
        <v>34</v>
      </c>
      <c r="I67" s="3">
        <v>116158.39999999999</v>
      </c>
      <c r="J67">
        <v>8</v>
      </c>
      <c r="K67" s="5">
        <v>0.05</v>
      </c>
      <c r="L67" s="3">
        <v>14044.86</v>
      </c>
      <c r="M67" t="s">
        <v>49</v>
      </c>
      <c r="N67">
        <f t="shared" si="2"/>
        <v>2024</v>
      </c>
      <c r="O67" t="str">
        <f t="shared" si="3"/>
        <v>May</v>
      </c>
    </row>
    <row r="68" spans="1:15" x14ac:dyDescent="0.2">
      <c r="A68" t="s">
        <v>163</v>
      </c>
      <c r="B68" s="7">
        <v>45709</v>
      </c>
      <c r="C68" t="s">
        <v>37</v>
      </c>
      <c r="D68" t="s">
        <v>15</v>
      </c>
      <c r="E68" t="s">
        <v>61</v>
      </c>
      <c r="F68" t="s">
        <v>144</v>
      </c>
      <c r="G68" t="s">
        <v>18</v>
      </c>
      <c r="H68" t="s">
        <v>70</v>
      </c>
      <c r="I68" s="3">
        <v>4390.3999999999996</v>
      </c>
      <c r="J68">
        <v>4</v>
      </c>
      <c r="K68" s="5">
        <v>0.2</v>
      </c>
      <c r="L68" s="3">
        <v>143.72</v>
      </c>
      <c r="M68" t="s">
        <v>40</v>
      </c>
      <c r="N68">
        <f t="shared" si="2"/>
        <v>2025</v>
      </c>
      <c r="O68" t="str">
        <f t="shared" si="3"/>
        <v>February</v>
      </c>
    </row>
    <row r="69" spans="1:15" x14ac:dyDescent="0.2">
      <c r="A69" t="s">
        <v>164</v>
      </c>
      <c r="B69" s="7">
        <v>45541</v>
      </c>
      <c r="C69" t="s">
        <v>29</v>
      </c>
      <c r="D69" t="s">
        <v>23</v>
      </c>
      <c r="E69" t="s">
        <v>38</v>
      </c>
      <c r="F69" t="s">
        <v>91</v>
      </c>
      <c r="G69" t="s">
        <v>18</v>
      </c>
      <c r="H69" t="s">
        <v>26</v>
      </c>
      <c r="I69" s="3">
        <v>146833.25</v>
      </c>
      <c r="J69">
        <v>5</v>
      </c>
      <c r="K69" s="5">
        <v>0.15</v>
      </c>
      <c r="L69" s="3">
        <v>35026.910000000003</v>
      </c>
      <c r="M69" t="s">
        <v>35</v>
      </c>
      <c r="N69">
        <f t="shared" si="2"/>
        <v>2024</v>
      </c>
      <c r="O69" t="str">
        <f t="shared" si="3"/>
        <v>September</v>
      </c>
    </row>
    <row r="70" spans="1:15" x14ac:dyDescent="0.2">
      <c r="A70" t="s">
        <v>165</v>
      </c>
      <c r="B70" s="7">
        <v>45294</v>
      </c>
      <c r="C70" t="s">
        <v>68</v>
      </c>
      <c r="D70" t="s">
        <v>23</v>
      </c>
      <c r="E70" t="s">
        <v>38</v>
      </c>
      <c r="F70" t="s">
        <v>140</v>
      </c>
      <c r="G70" t="s">
        <v>33</v>
      </c>
      <c r="H70" t="s">
        <v>48</v>
      </c>
      <c r="I70" s="3">
        <v>207352</v>
      </c>
      <c r="J70">
        <v>5</v>
      </c>
      <c r="K70" s="5">
        <v>0.2</v>
      </c>
      <c r="L70" s="3">
        <v>17300.32</v>
      </c>
      <c r="M70" t="s">
        <v>27</v>
      </c>
      <c r="N70">
        <f t="shared" si="2"/>
        <v>2024</v>
      </c>
      <c r="O70" t="str">
        <f t="shared" si="3"/>
        <v>January</v>
      </c>
    </row>
    <row r="71" spans="1:15" x14ac:dyDescent="0.2">
      <c r="A71" t="s">
        <v>166</v>
      </c>
      <c r="B71" s="7">
        <v>45621</v>
      </c>
      <c r="C71" t="s">
        <v>76</v>
      </c>
      <c r="D71" t="s">
        <v>15</v>
      </c>
      <c r="E71" t="s">
        <v>56</v>
      </c>
      <c r="F71" t="s">
        <v>57</v>
      </c>
      <c r="G71" t="s">
        <v>58</v>
      </c>
      <c r="H71" t="s">
        <v>74</v>
      </c>
      <c r="I71" s="3">
        <v>15104</v>
      </c>
      <c r="J71">
        <v>8</v>
      </c>
      <c r="K71" s="5">
        <v>0.2</v>
      </c>
      <c r="L71" s="3">
        <v>1592.6</v>
      </c>
      <c r="M71" t="s">
        <v>40</v>
      </c>
      <c r="N71">
        <f t="shared" si="2"/>
        <v>2024</v>
      </c>
      <c r="O71" t="str">
        <f t="shared" si="3"/>
        <v>November</v>
      </c>
    </row>
    <row r="72" spans="1:15" x14ac:dyDescent="0.2">
      <c r="A72" t="s">
        <v>167</v>
      </c>
      <c r="B72" s="7">
        <v>45959</v>
      </c>
      <c r="C72" t="s">
        <v>55</v>
      </c>
      <c r="D72" t="s">
        <v>15</v>
      </c>
      <c r="E72" t="s">
        <v>61</v>
      </c>
      <c r="F72" t="s">
        <v>111</v>
      </c>
      <c r="G72" t="s">
        <v>33</v>
      </c>
      <c r="H72" t="s">
        <v>109</v>
      </c>
      <c r="I72" s="3">
        <v>8471.1</v>
      </c>
      <c r="J72">
        <v>6</v>
      </c>
      <c r="K72" s="5">
        <v>0.15</v>
      </c>
      <c r="L72" s="3">
        <v>2034.61</v>
      </c>
      <c r="M72" t="s">
        <v>49</v>
      </c>
      <c r="N72">
        <f t="shared" si="2"/>
        <v>2025</v>
      </c>
      <c r="O72" t="str">
        <f t="shared" si="3"/>
        <v>October</v>
      </c>
    </row>
    <row r="73" spans="1:15" x14ac:dyDescent="0.2">
      <c r="A73" t="s">
        <v>168</v>
      </c>
      <c r="B73" s="7">
        <v>45962</v>
      </c>
      <c r="C73" t="s">
        <v>55</v>
      </c>
      <c r="D73" t="s">
        <v>23</v>
      </c>
      <c r="E73" t="s">
        <v>24</v>
      </c>
      <c r="F73" t="s">
        <v>86</v>
      </c>
      <c r="G73" t="s">
        <v>42</v>
      </c>
      <c r="H73" t="s">
        <v>102</v>
      </c>
      <c r="I73" s="3">
        <v>67769.2</v>
      </c>
      <c r="J73">
        <v>2</v>
      </c>
      <c r="K73" s="5">
        <v>0.05</v>
      </c>
      <c r="L73" s="3">
        <v>10131.209999999999</v>
      </c>
      <c r="M73" t="s">
        <v>20</v>
      </c>
      <c r="N73">
        <f t="shared" si="2"/>
        <v>2025</v>
      </c>
      <c r="O73" t="str">
        <f t="shared" si="3"/>
        <v>November</v>
      </c>
    </row>
    <row r="74" spans="1:15" x14ac:dyDescent="0.2">
      <c r="A74" t="s">
        <v>169</v>
      </c>
      <c r="B74" s="7">
        <v>45933</v>
      </c>
      <c r="C74" t="s">
        <v>29</v>
      </c>
      <c r="D74" t="s">
        <v>30</v>
      </c>
      <c r="E74" t="s">
        <v>104</v>
      </c>
      <c r="F74" t="s">
        <v>170</v>
      </c>
      <c r="G74" t="s">
        <v>42</v>
      </c>
      <c r="H74" t="s">
        <v>43</v>
      </c>
      <c r="I74" s="3">
        <v>19662.2</v>
      </c>
      <c r="J74">
        <v>2</v>
      </c>
      <c r="K74" s="5">
        <v>0.15</v>
      </c>
      <c r="L74" s="3">
        <v>4587.74</v>
      </c>
      <c r="M74" t="s">
        <v>35</v>
      </c>
      <c r="N74">
        <f t="shared" si="2"/>
        <v>2025</v>
      </c>
      <c r="O74" t="str">
        <f t="shared" si="3"/>
        <v>October</v>
      </c>
    </row>
    <row r="75" spans="1:15" x14ac:dyDescent="0.2">
      <c r="A75" t="s">
        <v>171</v>
      </c>
      <c r="B75" s="7">
        <v>46012</v>
      </c>
      <c r="C75" t="s">
        <v>37</v>
      </c>
      <c r="D75" t="s">
        <v>23</v>
      </c>
      <c r="E75" t="s">
        <v>172</v>
      </c>
      <c r="F75" t="s">
        <v>173</v>
      </c>
      <c r="G75" t="s">
        <v>18</v>
      </c>
      <c r="H75" t="s">
        <v>26</v>
      </c>
      <c r="I75" s="3">
        <v>80540</v>
      </c>
      <c r="J75">
        <v>5</v>
      </c>
      <c r="K75" s="5">
        <v>0</v>
      </c>
      <c r="L75" s="3">
        <v>18691.240000000002</v>
      </c>
      <c r="M75" t="s">
        <v>49</v>
      </c>
      <c r="N75">
        <f t="shared" si="2"/>
        <v>2025</v>
      </c>
      <c r="O75" t="str">
        <f t="shared" si="3"/>
        <v>December</v>
      </c>
    </row>
    <row r="76" spans="1:15" x14ac:dyDescent="0.2">
      <c r="A76" t="s">
        <v>174</v>
      </c>
      <c r="B76" s="7">
        <v>45835</v>
      </c>
      <c r="C76" t="s">
        <v>22</v>
      </c>
      <c r="D76" t="s">
        <v>23</v>
      </c>
      <c r="E76" t="s">
        <v>79</v>
      </c>
      <c r="F76" t="s">
        <v>80</v>
      </c>
      <c r="G76" t="s">
        <v>18</v>
      </c>
      <c r="H76" t="s">
        <v>70</v>
      </c>
      <c r="I76" s="3">
        <v>17362.099999999999</v>
      </c>
      <c r="J76">
        <v>1</v>
      </c>
      <c r="K76" s="5">
        <v>0.15</v>
      </c>
      <c r="L76" s="3">
        <v>1243.3699999999999</v>
      </c>
      <c r="M76" t="s">
        <v>35</v>
      </c>
      <c r="N76">
        <f t="shared" si="2"/>
        <v>2025</v>
      </c>
      <c r="O76" t="str">
        <f t="shared" si="3"/>
        <v>June</v>
      </c>
    </row>
    <row r="77" spans="1:15" x14ac:dyDescent="0.2">
      <c r="A77" t="s">
        <v>175</v>
      </c>
      <c r="B77" s="7">
        <v>45764</v>
      </c>
      <c r="C77" t="s">
        <v>68</v>
      </c>
      <c r="D77" t="s">
        <v>15</v>
      </c>
      <c r="E77" t="s">
        <v>46</v>
      </c>
      <c r="F77" t="s">
        <v>176</v>
      </c>
      <c r="G77" t="s">
        <v>33</v>
      </c>
      <c r="H77" t="s">
        <v>48</v>
      </c>
      <c r="I77" s="3">
        <v>11972.8</v>
      </c>
      <c r="J77">
        <v>7</v>
      </c>
      <c r="K77" s="5">
        <v>0.2</v>
      </c>
      <c r="L77" s="3">
        <v>701.89</v>
      </c>
      <c r="M77" t="s">
        <v>49</v>
      </c>
      <c r="N77">
        <f t="shared" si="2"/>
        <v>2025</v>
      </c>
      <c r="O77" t="str">
        <f t="shared" si="3"/>
        <v>April</v>
      </c>
    </row>
    <row r="78" spans="1:15" x14ac:dyDescent="0.2">
      <c r="A78" t="s">
        <v>177</v>
      </c>
      <c r="B78" s="7">
        <v>45726</v>
      </c>
      <c r="C78" t="s">
        <v>68</v>
      </c>
      <c r="D78" t="s">
        <v>30</v>
      </c>
      <c r="E78" t="s">
        <v>52</v>
      </c>
      <c r="F78" t="s">
        <v>118</v>
      </c>
      <c r="G78" t="s">
        <v>58</v>
      </c>
      <c r="H78" t="s">
        <v>84</v>
      </c>
      <c r="I78" s="3">
        <v>36657.599999999999</v>
      </c>
      <c r="J78">
        <v>3</v>
      </c>
      <c r="K78" s="5">
        <v>0.2</v>
      </c>
      <c r="L78" s="3">
        <v>3292.98</v>
      </c>
      <c r="M78" t="s">
        <v>49</v>
      </c>
      <c r="N78">
        <f t="shared" si="2"/>
        <v>2025</v>
      </c>
      <c r="O78" t="str">
        <f t="shared" si="3"/>
        <v>March</v>
      </c>
    </row>
    <row r="79" spans="1:15" x14ac:dyDescent="0.2">
      <c r="A79" t="s">
        <v>178</v>
      </c>
      <c r="B79" s="7">
        <v>45594</v>
      </c>
      <c r="C79" t="s">
        <v>14</v>
      </c>
      <c r="D79" t="s">
        <v>30</v>
      </c>
      <c r="E79" t="s">
        <v>31</v>
      </c>
      <c r="F79" t="s">
        <v>32</v>
      </c>
      <c r="G79" t="s">
        <v>58</v>
      </c>
      <c r="H79" t="s">
        <v>59</v>
      </c>
      <c r="I79" s="3">
        <v>45223.199999999997</v>
      </c>
      <c r="J79">
        <v>4</v>
      </c>
      <c r="K79" s="5">
        <v>0.1</v>
      </c>
      <c r="L79" s="3">
        <v>11465.82</v>
      </c>
      <c r="M79" t="s">
        <v>49</v>
      </c>
      <c r="N79">
        <f t="shared" si="2"/>
        <v>2024</v>
      </c>
      <c r="O79" t="str">
        <f t="shared" si="3"/>
        <v>October</v>
      </c>
    </row>
    <row r="80" spans="1:15" x14ac:dyDescent="0.2">
      <c r="A80" t="s">
        <v>179</v>
      </c>
      <c r="B80" s="7">
        <v>45986</v>
      </c>
      <c r="C80" t="s">
        <v>55</v>
      </c>
      <c r="D80" t="s">
        <v>30</v>
      </c>
      <c r="E80" t="s">
        <v>52</v>
      </c>
      <c r="F80" t="s">
        <v>127</v>
      </c>
      <c r="G80" t="s">
        <v>18</v>
      </c>
      <c r="H80" t="s">
        <v>63</v>
      </c>
      <c r="I80" s="3">
        <v>46907.199999999997</v>
      </c>
      <c r="J80">
        <v>4</v>
      </c>
      <c r="K80" s="5">
        <v>0.05</v>
      </c>
      <c r="L80" s="3">
        <v>8991.09</v>
      </c>
      <c r="M80" t="s">
        <v>20</v>
      </c>
      <c r="N80">
        <f t="shared" si="2"/>
        <v>2025</v>
      </c>
      <c r="O80" t="str">
        <f t="shared" si="3"/>
        <v>November</v>
      </c>
    </row>
    <row r="81" spans="1:15" x14ac:dyDescent="0.2">
      <c r="A81" t="s">
        <v>180</v>
      </c>
      <c r="B81" s="7">
        <v>45717</v>
      </c>
      <c r="C81" t="s">
        <v>55</v>
      </c>
      <c r="D81" t="s">
        <v>15</v>
      </c>
      <c r="E81" t="s">
        <v>16</v>
      </c>
      <c r="F81" t="s">
        <v>17</v>
      </c>
      <c r="G81" t="s">
        <v>42</v>
      </c>
      <c r="H81" t="s">
        <v>43</v>
      </c>
      <c r="I81" s="3">
        <v>2532.6</v>
      </c>
      <c r="J81">
        <v>6</v>
      </c>
      <c r="K81" s="5">
        <v>0.1</v>
      </c>
      <c r="L81" s="3">
        <v>304.77999999999997</v>
      </c>
      <c r="M81" t="s">
        <v>40</v>
      </c>
      <c r="N81">
        <f t="shared" si="2"/>
        <v>2025</v>
      </c>
      <c r="O81" t="str">
        <f t="shared" si="3"/>
        <v>March</v>
      </c>
    </row>
    <row r="82" spans="1:15" x14ac:dyDescent="0.2">
      <c r="A82" t="s">
        <v>181</v>
      </c>
      <c r="B82" s="7">
        <v>45771</v>
      </c>
      <c r="C82" t="s">
        <v>37</v>
      </c>
      <c r="D82" t="s">
        <v>23</v>
      </c>
      <c r="E82" t="s">
        <v>172</v>
      </c>
      <c r="F82" t="s">
        <v>182</v>
      </c>
      <c r="G82" t="s">
        <v>42</v>
      </c>
      <c r="H82" t="s">
        <v>119</v>
      </c>
      <c r="I82" s="3">
        <v>274963.5</v>
      </c>
      <c r="J82">
        <v>5</v>
      </c>
      <c r="K82" s="5">
        <v>0.1</v>
      </c>
      <c r="L82" s="3">
        <v>59349.91</v>
      </c>
      <c r="M82" t="s">
        <v>40</v>
      </c>
      <c r="N82">
        <f t="shared" si="2"/>
        <v>2025</v>
      </c>
      <c r="O82" t="str">
        <f t="shared" si="3"/>
        <v>April</v>
      </c>
    </row>
    <row r="83" spans="1:15" x14ac:dyDescent="0.2">
      <c r="A83" t="s">
        <v>183</v>
      </c>
      <c r="B83" s="7">
        <v>45980</v>
      </c>
      <c r="C83" t="s">
        <v>68</v>
      </c>
      <c r="D83" t="s">
        <v>23</v>
      </c>
      <c r="E83" t="s">
        <v>38</v>
      </c>
      <c r="F83" t="s">
        <v>91</v>
      </c>
      <c r="G83" t="s">
        <v>42</v>
      </c>
      <c r="H83" t="s">
        <v>102</v>
      </c>
      <c r="I83" s="3">
        <v>16677.900000000001</v>
      </c>
      <c r="J83">
        <v>1</v>
      </c>
      <c r="K83" s="5">
        <v>0.1</v>
      </c>
      <c r="L83" s="3">
        <v>3161.56</v>
      </c>
      <c r="M83" t="s">
        <v>35</v>
      </c>
      <c r="N83">
        <f t="shared" si="2"/>
        <v>2025</v>
      </c>
      <c r="O83" t="str">
        <f t="shared" si="3"/>
        <v>November</v>
      </c>
    </row>
    <row r="84" spans="1:15" x14ac:dyDescent="0.2">
      <c r="A84" t="s">
        <v>184</v>
      </c>
      <c r="B84" s="7">
        <v>45767</v>
      </c>
      <c r="C84" t="s">
        <v>68</v>
      </c>
      <c r="D84" t="s">
        <v>30</v>
      </c>
      <c r="E84" t="s">
        <v>104</v>
      </c>
      <c r="F84" t="s">
        <v>137</v>
      </c>
      <c r="G84" t="s">
        <v>18</v>
      </c>
      <c r="H84" t="s">
        <v>26</v>
      </c>
      <c r="I84" s="3">
        <v>11548</v>
      </c>
      <c r="J84">
        <v>1</v>
      </c>
      <c r="K84" s="5">
        <v>0</v>
      </c>
      <c r="L84" s="3">
        <v>2391.37</v>
      </c>
      <c r="M84" t="s">
        <v>49</v>
      </c>
      <c r="N84">
        <f t="shared" si="2"/>
        <v>2025</v>
      </c>
      <c r="O84" t="str">
        <f t="shared" si="3"/>
        <v>April</v>
      </c>
    </row>
    <row r="85" spans="1:15" x14ac:dyDescent="0.2">
      <c r="A85" t="s">
        <v>185</v>
      </c>
      <c r="B85" s="7">
        <v>45756</v>
      </c>
      <c r="C85" t="s">
        <v>45</v>
      </c>
      <c r="D85" t="s">
        <v>23</v>
      </c>
      <c r="E85" t="s">
        <v>24</v>
      </c>
      <c r="F85" t="s">
        <v>86</v>
      </c>
      <c r="G85" t="s">
        <v>18</v>
      </c>
      <c r="H85" t="s">
        <v>70</v>
      </c>
      <c r="I85" s="3">
        <v>56384</v>
      </c>
      <c r="J85">
        <v>8</v>
      </c>
      <c r="K85" s="5">
        <v>0.2</v>
      </c>
      <c r="L85" s="3">
        <v>3221.38</v>
      </c>
      <c r="M85" t="s">
        <v>35</v>
      </c>
      <c r="N85">
        <f t="shared" si="2"/>
        <v>2025</v>
      </c>
      <c r="O85" t="str">
        <f t="shared" si="3"/>
        <v>April</v>
      </c>
    </row>
    <row r="86" spans="1:15" x14ac:dyDescent="0.2">
      <c r="A86" t="s">
        <v>186</v>
      </c>
      <c r="B86" s="7">
        <v>45671</v>
      </c>
      <c r="C86" t="s">
        <v>76</v>
      </c>
      <c r="D86" t="s">
        <v>30</v>
      </c>
      <c r="E86" t="s">
        <v>72</v>
      </c>
      <c r="F86" t="s">
        <v>73</v>
      </c>
      <c r="G86" t="s">
        <v>33</v>
      </c>
      <c r="H86" t="s">
        <v>109</v>
      </c>
      <c r="I86" s="3">
        <v>30301.200000000001</v>
      </c>
      <c r="J86">
        <v>2</v>
      </c>
      <c r="K86" s="5">
        <v>0.1</v>
      </c>
      <c r="L86" s="3">
        <v>1864.83</v>
      </c>
      <c r="M86" t="s">
        <v>49</v>
      </c>
      <c r="N86">
        <f t="shared" si="2"/>
        <v>2025</v>
      </c>
      <c r="O86" t="str">
        <f t="shared" si="3"/>
        <v>January</v>
      </c>
    </row>
    <row r="87" spans="1:15" x14ac:dyDescent="0.2">
      <c r="A87" t="s">
        <v>187</v>
      </c>
      <c r="B87" s="7">
        <v>45417</v>
      </c>
      <c r="C87" t="s">
        <v>29</v>
      </c>
      <c r="D87" t="s">
        <v>30</v>
      </c>
      <c r="E87" t="s">
        <v>31</v>
      </c>
      <c r="F87" t="s">
        <v>188</v>
      </c>
      <c r="G87" t="s">
        <v>42</v>
      </c>
      <c r="H87" t="s">
        <v>102</v>
      </c>
      <c r="I87" s="3">
        <v>64020.3</v>
      </c>
      <c r="J87">
        <v>6</v>
      </c>
      <c r="K87" s="5">
        <v>0.15</v>
      </c>
      <c r="L87" s="3">
        <v>6253.27</v>
      </c>
      <c r="M87" t="s">
        <v>20</v>
      </c>
      <c r="N87">
        <f t="shared" si="2"/>
        <v>2024</v>
      </c>
      <c r="O87" t="str">
        <f t="shared" si="3"/>
        <v>May</v>
      </c>
    </row>
    <row r="88" spans="1:15" x14ac:dyDescent="0.2">
      <c r="A88" t="s">
        <v>189</v>
      </c>
      <c r="B88" s="7">
        <v>45513</v>
      </c>
      <c r="C88" t="s">
        <v>76</v>
      </c>
      <c r="D88" t="s">
        <v>15</v>
      </c>
      <c r="E88" t="s">
        <v>46</v>
      </c>
      <c r="F88" t="s">
        <v>47</v>
      </c>
      <c r="G88" t="s">
        <v>18</v>
      </c>
      <c r="H88" t="s">
        <v>70</v>
      </c>
      <c r="I88" s="3">
        <v>1219.2</v>
      </c>
      <c r="J88">
        <v>4</v>
      </c>
      <c r="K88" s="5">
        <v>0.2</v>
      </c>
      <c r="L88" s="3">
        <v>87.09</v>
      </c>
      <c r="M88" t="s">
        <v>27</v>
      </c>
      <c r="N88">
        <f t="shared" si="2"/>
        <v>2024</v>
      </c>
      <c r="O88" t="str">
        <f t="shared" si="3"/>
        <v>August</v>
      </c>
    </row>
    <row r="89" spans="1:15" x14ac:dyDescent="0.2">
      <c r="A89" t="s">
        <v>190</v>
      </c>
      <c r="B89" s="7">
        <v>45318</v>
      </c>
      <c r="C89" t="s">
        <v>55</v>
      </c>
      <c r="D89" t="s">
        <v>23</v>
      </c>
      <c r="E89" t="s">
        <v>172</v>
      </c>
      <c r="F89" t="s">
        <v>182</v>
      </c>
      <c r="G89" t="s">
        <v>18</v>
      </c>
      <c r="H89" t="s">
        <v>19</v>
      </c>
      <c r="I89" s="3">
        <v>109809</v>
      </c>
      <c r="J89">
        <v>3</v>
      </c>
      <c r="K89" s="5">
        <v>0</v>
      </c>
      <c r="L89" s="3">
        <v>23302.74</v>
      </c>
      <c r="M89" t="s">
        <v>20</v>
      </c>
      <c r="N89">
        <f t="shared" si="2"/>
        <v>2024</v>
      </c>
      <c r="O89" t="str">
        <f t="shared" si="3"/>
        <v>January</v>
      </c>
    </row>
    <row r="90" spans="1:15" x14ac:dyDescent="0.2">
      <c r="A90" t="s">
        <v>191</v>
      </c>
      <c r="B90" s="7">
        <v>45357</v>
      </c>
      <c r="C90" t="s">
        <v>29</v>
      </c>
      <c r="D90" t="s">
        <v>30</v>
      </c>
      <c r="E90" t="s">
        <v>31</v>
      </c>
      <c r="F90" t="s">
        <v>32</v>
      </c>
      <c r="G90" t="s">
        <v>42</v>
      </c>
      <c r="H90" t="s">
        <v>102</v>
      </c>
      <c r="I90" s="3">
        <v>19812</v>
      </c>
      <c r="J90">
        <v>5</v>
      </c>
      <c r="K90" s="5">
        <v>0.2</v>
      </c>
      <c r="L90" s="3">
        <v>1044.68</v>
      </c>
      <c r="M90" t="s">
        <v>49</v>
      </c>
      <c r="N90">
        <f t="shared" si="2"/>
        <v>2024</v>
      </c>
      <c r="O90" t="str">
        <f t="shared" si="3"/>
        <v>March</v>
      </c>
    </row>
    <row r="91" spans="1:15" x14ac:dyDescent="0.2">
      <c r="A91" t="s">
        <v>192</v>
      </c>
      <c r="B91" s="7">
        <v>45323</v>
      </c>
      <c r="C91" t="s">
        <v>14</v>
      </c>
      <c r="D91" t="s">
        <v>30</v>
      </c>
      <c r="E91" t="s">
        <v>72</v>
      </c>
      <c r="F91" t="s">
        <v>73</v>
      </c>
      <c r="G91" t="s">
        <v>18</v>
      </c>
      <c r="H91" t="s">
        <v>63</v>
      </c>
      <c r="I91" s="3">
        <v>7992</v>
      </c>
      <c r="J91">
        <v>4</v>
      </c>
      <c r="K91" s="5">
        <v>0.1</v>
      </c>
      <c r="L91" s="3">
        <v>1171.7</v>
      </c>
      <c r="M91" t="s">
        <v>49</v>
      </c>
      <c r="N91">
        <f t="shared" si="2"/>
        <v>2024</v>
      </c>
      <c r="O91" t="str">
        <f t="shared" si="3"/>
        <v>February</v>
      </c>
    </row>
    <row r="92" spans="1:15" x14ac:dyDescent="0.2">
      <c r="A92" t="s">
        <v>193</v>
      </c>
      <c r="B92" s="7">
        <v>45421</v>
      </c>
      <c r="C92" t="s">
        <v>68</v>
      </c>
      <c r="D92" t="s">
        <v>30</v>
      </c>
      <c r="E92" t="s">
        <v>122</v>
      </c>
      <c r="F92" t="s">
        <v>123</v>
      </c>
      <c r="G92" t="s">
        <v>18</v>
      </c>
      <c r="H92" t="s">
        <v>63</v>
      </c>
      <c r="I92" s="3">
        <v>22060.799999999999</v>
      </c>
      <c r="J92">
        <v>8</v>
      </c>
      <c r="K92" s="5">
        <v>0.2</v>
      </c>
      <c r="L92" s="3">
        <v>1316.3</v>
      </c>
      <c r="M92" t="s">
        <v>35</v>
      </c>
      <c r="N92">
        <f t="shared" si="2"/>
        <v>2024</v>
      </c>
      <c r="O92" t="str">
        <f t="shared" si="3"/>
        <v>May</v>
      </c>
    </row>
    <row r="93" spans="1:15" x14ac:dyDescent="0.2">
      <c r="A93" t="s">
        <v>194</v>
      </c>
      <c r="B93" s="7">
        <v>45409</v>
      </c>
      <c r="C93" t="s">
        <v>51</v>
      </c>
      <c r="D93" t="s">
        <v>15</v>
      </c>
      <c r="E93" t="s">
        <v>56</v>
      </c>
      <c r="F93" t="s">
        <v>100</v>
      </c>
      <c r="G93" t="s">
        <v>42</v>
      </c>
      <c r="H93" t="s">
        <v>43</v>
      </c>
      <c r="I93" s="3">
        <v>9310</v>
      </c>
      <c r="J93">
        <v>5</v>
      </c>
      <c r="K93" s="5">
        <v>0</v>
      </c>
      <c r="L93" s="3">
        <v>2221.54</v>
      </c>
      <c r="M93" t="s">
        <v>40</v>
      </c>
      <c r="N93">
        <f t="shared" si="2"/>
        <v>2024</v>
      </c>
      <c r="O93" t="str">
        <f t="shared" si="3"/>
        <v>April</v>
      </c>
    </row>
    <row r="94" spans="1:15" x14ac:dyDescent="0.2">
      <c r="A94" t="s">
        <v>195</v>
      </c>
      <c r="B94" s="7">
        <v>45973</v>
      </c>
      <c r="C94" t="s">
        <v>68</v>
      </c>
      <c r="D94" t="s">
        <v>30</v>
      </c>
      <c r="E94" t="s">
        <v>122</v>
      </c>
      <c r="F94" t="s">
        <v>160</v>
      </c>
      <c r="G94" t="s">
        <v>33</v>
      </c>
      <c r="H94" t="s">
        <v>109</v>
      </c>
      <c r="I94" s="3">
        <v>103903.2</v>
      </c>
      <c r="J94">
        <v>8</v>
      </c>
      <c r="K94" s="5">
        <v>0.1</v>
      </c>
      <c r="L94" s="3">
        <v>14583.11</v>
      </c>
      <c r="M94" t="s">
        <v>27</v>
      </c>
      <c r="N94">
        <f t="shared" si="2"/>
        <v>2025</v>
      </c>
      <c r="O94" t="str">
        <f t="shared" si="3"/>
        <v>November</v>
      </c>
    </row>
    <row r="95" spans="1:15" x14ac:dyDescent="0.2">
      <c r="A95" t="s">
        <v>196</v>
      </c>
      <c r="B95" s="7">
        <v>45892</v>
      </c>
      <c r="C95" t="s">
        <v>51</v>
      </c>
      <c r="D95" t="s">
        <v>23</v>
      </c>
      <c r="E95" t="s">
        <v>38</v>
      </c>
      <c r="F95" t="s">
        <v>140</v>
      </c>
      <c r="G95" t="s">
        <v>18</v>
      </c>
      <c r="H95" t="s">
        <v>70</v>
      </c>
      <c r="I95" s="3">
        <v>56055.7</v>
      </c>
      <c r="J95">
        <v>2</v>
      </c>
      <c r="K95" s="5">
        <v>0.05</v>
      </c>
      <c r="L95" s="3">
        <v>10021.31</v>
      </c>
      <c r="M95" t="s">
        <v>35</v>
      </c>
      <c r="N95">
        <f t="shared" si="2"/>
        <v>2025</v>
      </c>
      <c r="O95" t="str">
        <f t="shared" si="3"/>
        <v>August</v>
      </c>
    </row>
    <row r="96" spans="1:15" x14ac:dyDescent="0.2">
      <c r="A96" t="s">
        <v>197</v>
      </c>
      <c r="B96" s="7">
        <v>45398</v>
      </c>
      <c r="C96" t="s">
        <v>90</v>
      </c>
      <c r="D96" t="s">
        <v>30</v>
      </c>
      <c r="E96" t="s">
        <v>52</v>
      </c>
      <c r="F96" t="s">
        <v>118</v>
      </c>
      <c r="G96" t="s">
        <v>58</v>
      </c>
      <c r="H96" t="s">
        <v>84</v>
      </c>
      <c r="I96" s="3">
        <v>13916</v>
      </c>
      <c r="J96">
        <v>7</v>
      </c>
      <c r="K96" s="5">
        <v>0.2</v>
      </c>
      <c r="L96" s="3">
        <v>1287.0899999999999</v>
      </c>
      <c r="M96" t="s">
        <v>35</v>
      </c>
      <c r="N96">
        <f t="shared" si="2"/>
        <v>2024</v>
      </c>
      <c r="O96" t="str">
        <f t="shared" si="3"/>
        <v>April</v>
      </c>
    </row>
    <row r="97" spans="1:15" x14ac:dyDescent="0.2">
      <c r="A97" t="s">
        <v>198</v>
      </c>
      <c r="B97" s="7">
        <v>45731</v>
      </c>
      <c r="C97" t="s">
        <v>51</v>
      </c>
      <c r="D97" t="s">
        <v>23</v>
      </c>
      <c r="E97" t="s">
        <v>24</v>
      </c>
      <c r="F97" t="s">
        <v>77</v>
      </c>
      <c r="G97" t="s">
        <v>58</v>
      </c>
      <c r="H97" t="s">
        <v>74</v>
      </c>
      <c r="I97" s="3">
        <v>305650.8</v>
      </c>
      <c r="J97">
        <v>6</v>
      </c>
      <c r="K97" s="5">
        <v>0.1</v>
      </c>
      <c r="L97" s="3">
        <v>51905.62</v>
      </c>
      <c r="M97" t="s">
        <v>35</v>
      </c>
      <c r="N97">
        <f t="shared" si="2"/>
        <v>2025</v>
      </c>
      <c r="O97" t="str">
        <f t="shared" si="3"/>
        <v>March</v>
      </c>
    </row>
    <row r="98" spans="1:15" x14ac:dyDescent="0.2">
      <c r="A98" t="s">
        <v>199</v>
      </c>
      <c r="B98" s="7">
        <v>45438</v>
      </c>
      <c r="C98" t="s">
        <v>90</v>
      </c>
      <c r="D98" t="s">
        <v>15</v>
      </c>
      <c r="E98" t="s">
        <v>56</v>
      </c>
      <c r="F98" t="s">
        <v>88</v>
      </c>
      <c r="G98" t="s">
        <v>18</v>
      </c>
      <c r="H98" t="s">
        <v>19</v>
      </c>
      <c r="I98" s="3">
        <v>4025.7</v>
      </c>
      <c r="J98">
        <v>3</v>
      </c>
      <c r="K98" s="5">
        <v>0.1</v>
      </c>
      <c r="L98" s="3">
        <v>226.33</v>
      </c>
      <c r="M98" t="s">
        <v>49</v>
      </c>
      <c r="N98">
        <f t="shared" si="2"/>
        <v>2024</v>
      </c>
      <c r="O98" t="str">
        <f t="shared" si="3"/>
        <v>May</v>
      </c>
    </row>
    <row r="99" spans="1:15" x14ac:dyDescent="0.2">
      <c r="A99" t="s">
        <v>200</v>
      </c>
      <c r="B99" s="7">
        <v>45611</v>
      </c>
      <c r="C99" t="s">
        <v>45</v>
      </c>
      <c r="D99" t="s">
        <v>23</v>
      </c>
      <c r="E99" t="s">
        <v>24</v>
      </c>
      <c r="F99" t="s">
        <v>25</v>
      </c>
      <c r="G99" t="s">
        <v>18</v>
      </c>
      <c r="H99" t="s">
        <v>70</v>
      </c>
      <c r="I99" s="3">
        <v>93074.4</v>
      </c>
      <c r="J99">
        <v>4</v>
      </c>
      <c r="K99" s="5">
        <v>0.1</v>
      </c>
      <c r="L99" s="3">
        <v>8049.25</v>
      </c>
      <c r="M99" t="s">
        <v>35</v>
      </c>
      <c r="N99">
        <f t="shared" si="2"/>
        <v>2024</v>
      </c>
      <c r="O99" t="str">
        <f t="shared" si="3"/>
        <v>November</v>
      </c>
    </row>
    <row r="100" spans="1:15" x14ac:dyDescent="0.2">
      <c r="A100" t="s">
        <v>201</v>
      </c>
      <c r="B100" s="7">
        <v>45789</v>
      </c>
      <c r="C100" t="s">
        <v>90</v>
      </c>
      <c r="D100" t="s">
        <v>15</v>
      </c>
      <c r="E100" t="s">
        <v>16</v>
      </c>
      <c r="F100" t="s">
        <v>17</v>
      </c>
      <c r="G100" t="s">
        <v>18</v>
      </c>
      <c r="H100" t="s">
        <v>26</v>
      </c>
      <c r="I100" s="3">
        <v>1031.9000000000001</v>
      </c>
      <c r="J100">
        <v>1</v>
      </c>
      <c r="K100" s="5">
        <v>0.15</v>
      </c>
      <c r="L100" s="3">
        <v>180.47</v>
      </c>
      <c r="M100" t="s">
        <v>49</v>
      </c>
      <c r="N100">
        <f t="shared" si="2"/>
        <v>2025</v>
      </c>
      <c r="O100" t="str">
        <f t="shared" si="3"/>
        <v>May</v>
      </c>
    </row>
    <row r="101" spans="1:15" x14ac:dyDescent="0.2">
      <c r="A101" t="s">
        <v>202</v>
      </c>
      <c r="B101" s="7">
        <v>45338</v>
      </c>
      <c r="C101" t="s">
        <v>76</v>
      </c>
      <c r="D101" t="s">
        <v>30</v>
      </c>
      <c r="E101" t="s">
        <v>104</v>
      </c>
      <c r="F101" t="s">
        <v>137</v>
      </c>
      <c r="G101" t="s">
        <v>33</v>
      </c>
      <c r="H101" t="s">
        <v>128</v>
      </c>
      <c r="I101" s="3">
        <v>56453.599999999999</v>
      </c>
      <c r="J101">
        <v>7</v>
      </c>
      <c r="K101" s="5">
        <v>0.2</v>
      </c>
      <c r="L101" s="3">
        <v>9226.01</v>
      </c>
      <c r="M101" t="s">
        <v>49</v>
      </c>
      <c r="N101">
        <f t="shared" si="2"/>
        <v>2024</v>
      </c>
      <c r="O101" t="str">
        <f t="shared" si="3"/>
        <v>February</v>
      </c>
    </row>
    <row r="102" spans="1:15" x14ac:dyDescent="0.2">
      <c r="A102" t="s">
        <v>203</v>
      </c>
      <c r="B102" s="7">
        <v>45299</v>
      </c>
      <c r="C102" t="s">
        <v>29</v>
      </c>
      <c r="D102" t="s">
        <v>15</v>
      </c>
      <c r="E102" t="s">
        <v>16</v>
      </c>
      <c r="F102" t="s">
        <v>204</v>
      </c>
      <c r="G102" t="s">
        <v>18</v>
      </c>
      <c r="H102" t="s">
        <v>26</v>
      </c>
      <c r="I102" s="3">
        <v>4125.6000000000004</v>
      </c>
      <c r="J102">
        <v>4</v>
      </c>
      <c r="K102" s="5">
        <v>0.1</v>
      </c>
      <c r="L102" s="3">
        <v>497.65</v>
      </c>
      <c r="M102" t="s">
        <v>49</v>
      </c>
      <c r="N102">
        <f t="shared" si="2"/>
        <v>2024</v>
      </c>
      <c r="O102" t="str">
        <f t="shared" si="3"/>
        <v>January</v>
      </c>
    </row>
    <row r="103" spans="1:15" x14ac:dyDescent="0.2">
      <c r="A103" t="s">
        <v>205</v>
      </c>
      <c r="B103" s="7">
        <v>45371</v>
      </c>
      <c r="C103" t="s">
        <v>45</v>
      </c>
      <c r="D103" t="s">
        <v>23</v>
      </c>
      <c r="E103" t="s">
        <v>24</v>
      </c>
      <c r="F103" t="s">
        <v>25</v>
      </c>
      <c r="G103" t="s">
        <v>58</v>
      </c>
      <c r="H103" t="s">
        <v>74</v>
      </c>
      <c r="I103" s="3">
        <v>30207.3</v>
      </c>
      <c r="J103">
        <v>6</v>
      </c>
      <c r="K103" s="5">
        <v>0.15</v>
      </c>
      <c r="L103" s="3">
        <v>1397.04</v>
      </c>
      <c r="M103" t="s">
        <v>35</v>
      </c>
      <c r="N103">
        <f t="shared" si="2"/>
        <v>2024</v>
      </c>
      <c r="O103" t="str">
        <f t="shared" si="3"/>
        <v>March</v>
      </c>
    </row>
    <row r="104" spans="1:15" x14ac:dyDescent="0.2">
      <c r="A104" t="s">
        <v>206</v>
      </c>
      <c r="B104" s="7">
        <v>45924</v>
      </c>
      <c r="C104" t="s">
        <v>29</v>
      </c>
      <c r="D104" t="s">
        <v>30</v>
      </c>
      <c r="E104" t="s">
        <v>72</v>
      </c>
      <c r="F104" t="s">
        <v>207</v>
      </c>
      <c r="G104" t="s">
        <v>58</v>
      </c>
      <c r="H104" t="s">
        <v>59</v>
      </c>
      <c r="I104" s="3">
        <v>2817.7</v>
      </c>
      <c r="J104">
        <v>2</v>
      </c>
      <c r="K104" s="5">
        <v>0.05</v>
      </c>
      <c r="L104" s="3">
        <v>641.77</v>
      </c>
      <c r="M104" t="s">
        <v>27</v>
      </c>
      <c r="N104">
        <f t="shared" si="2"/>
        <v>2025</v>
      </c>
      <c r="O104" t="str">
        <f t="shared" si="3"/>
        <v>September</v>
      </c>
    </row>
    <row r="105" spans="1:15" x14ac:dyDescent="0.2">
      <c r="A105" t="s">
        <v>208</v>
      </c>
      <c r="B105" s="7">
        <v>45518</v>
      </c>
      <c r="C105" t="s">
        <v>45</v>
      </c>
      <c r="D105" t="s">
        <v>23</v>
      </c>
      <c r="E105" t="s">
        <v>38</v>
      </c>
      <c r="F105" t="s">
        <v>91</v>
      </c>
      <c r="G105" t="s">
        <v>18</v>
      </c>
      <c r="H105" t="s">
        <v>26</v>
      </c>
      <c r="I105" s="3">
        <v>223889.4</v>
      </c>
      <c r="J105">
        <v>7</v>
      </c>
      <c r="K105" s="5">
        <v>0.1</v>
      </c>
      <c r="L105" s="3">
        <v>45709.48</v>
      </c>
      <c r="M105" t="s">
        <v>40</v>
      </c>
      <c r="N105">
        <f t="shared" si="2"/>
        <v>2024</v>
      </c>
      <c r="O105" t="str">
        <f t="shared" si="3"/>
        <v>August</v>
      </c>
    </row>
    <row r="106" spans="1:15" x14ac:dyDescent="0.2">
      <c r="A106" t="s">
        <v>209</v>
      </c>
      <c r="B106" s="7">
        <v>45494</v>
      </c>
      <c r="C106" t="s">
        <v>55</v>
      </c>
      <c r="D106" t="s">
        <v>23</v>
      </c>
      <c r="E106" t="s">
        <v>172</v>
      </c>
      <c r="F106" t="s">
        <v>210</v>
      </c>
      <c r="G106" t="s">
        <v>18</v>
      </c>
      <c r="H106" t="s">
        <v>26</v>
      </c>
      <c r="I106" s="3">
        <v>293214</v>
      </c>
      <c r="J106">
        <v>6</v>
      </c>
      <c r="K106" s="5">
        <v>0</v>
      </c>
      <c r="L106" s="3">
        <v>32045.02</v>
      </c>
      <c r="M106" t="s">
        <v>35</v>
      </c>
      <c r="N106">
        <f t="shared" si="2"/>
        <v>2024</v>
      </c>
      <c r="O106" t="str">
        <f t="shared" si="3"/>
        <v>July</v>
      </c>
    </row>
    <row r="107" spans="1:15" x14ac:dyDescent="0.2">
      <c r="A107" t="s">
        <v>211</v>
      </c>
      <c r="B107" s="7">
        <v>45772</v>
      </c>
      <c r="C107" t="s">
        <v>29</v>
      </c>
      <c r="D107" t="s">
        <v>23</v>
      </c>
      <c r="E107" t="s">
        <v>82</v>
      </c>
      <c r="F107" t="s">
        <v>83</v>
      </c>
      <c r="G107" t="s">
        <v>33</v>
      </c>
      <c r="H107" t="s">
        <v>109</v>
      </c>
      <c r="I107" s="3">
        <v>348368.8</v>
      </c>
      <c r="J107">
        <v>8</v>
      </c>
      <c r="K107" s="5">
        <v>0.05</v>
      </c>
      <c r="L107" s="3">
        <v>54154.82</v>
      </c>
      <c r="M107" t="s">
        <v>27</v>
      </c>
      <c r="N107">
        <f t="shared" si="2"/>
        <v>2025</v>
      </c>
      <c r="O107" t="str">
        <f t="shared" si="3"/>
        <v>April</v>
      </c>
    </row>
    <row r="108" spans="1:15" x14ac:dyDescent="0.2">
      <c r="A108" t="s">
        <v>212</v>
      </c>
      <c r="B108" s="7">
        <v>45585</v>
      </c>
      <c r="C108" t="s">
        <v>37</v>
      </c>
      <c r="D108" t="s">
        <v>30</v>
      </c>
      <c r="E108" t="s">
        <v>72</v>
      </c>
      <c r="F108" t="s">
        <v>73</v>
      </c>
      <c r="G108" t="s">
        <v>18</v>
      </c>
      <c r="H108" t="s">
        <v>19</v>
      </c>
      <c r="I108" s="3">
        <v>31860</v>
      </c>
      <c r="J108">
        <v>2</v>
      </c>
      <c r="K108" s="5">
        <v>0</v>
      </c>
      <c r="L108" s="3">
        <v>2911.3</v>
      </c>
      <c r="M108" t="s">
        <v>20</v>
      </c>
      <c r="N108">
        <f t="shared" si="2"/>
        <v>2024</v>
      </c>
      <c r="O108" t="str">
        <f t="shared" si="3"/>
        <v>October</v>
      </c>
    </row>
    <row r="109" spans="1:15" x14ac:dyDescent="0.2">
      <c r="A109" t="s">
        <v>213</v>
      </c>
      <c r="B109" s="7">
        <v>45446</v>
      </c>
      <c r="C109" t="s">
        <v>14</v>
      </c>
      <c r="D109" t="s">
        <v>15</v>
      </c>
      <c r="E109" t="s">
        <v>56</v>
      </c>
      <c r="F109" t="s">
        <v>100</v>
      </c>
      <c r="G109" t="s">
        <v>58</v>
      </c>
      <c r="H109" t="s">
        <v>59</v>
      </c>
      <c r="I109" s="3">
        <v>1132.8</v>
      </c>
      <c r="J109">
        <v>1</v>
      </c>
      <c r="K109" s="5">
        <v>0.2</v>
      </c>
      <c r="L109" s="3">
        <v>141.74</v>
      </c>
      <c r="M109" t="s">
        <v>49</v>
      </c>
      <c r="N109">
        <f t="shared" si="2"/>
        <v>2024</v>
      </c>
      <c r="O109" t="str">
        <f t="shared" si="3"/>
        <v>June</v>
      </c>
    </row>
    <row r="110" spans="1:15" x14ac:dyDescent="0.2">
      <c r="A110" t="s">
        <v>214</v>
      </c>
      <c r="B110" s="7">
        <v>45454</v>
      </c>
      <c r="C110" t="s">
        <v>45</v>
      </c>
      <c r="D110" t="s">
        <v>23</v>
      </c>
      <c r="E110" t="s">
        <v>79</v>
      </c>
      <c r="F110" t="s">
        <v>107</v>
      </c>
      <c r="G110" t="s">
        <v>18</v>
      </c>
      <c r="H110" t="s">
        <v>26</v>
      </c>
      <c r="I110" s="3">
        <v>152236.79999999999</v>
      </c>
      <c r="J110">
        <v>4</v>
      </c>
      <c r="K110" s="5">
        <v>0.2</v>
      </c>
      <c r="L110" s="3">
        <v>20483.400000000001</v>
      </c>
      <c r="M110" t="s">
        <v>27</v>
      </c>
      <c r="N110">
        <f t="shared" si="2"/>
        <v>2024</v>
      </c>
      <c r="O110" t="str">
        <f t="shared" si="3"/>
        <v>June</v>
      </c>
    </row>
    <row r="111" spans="1:15" x14ac:dyDescent="0.2">
      <c r="A111" t="s">
        <v>215</v>
      </c>
      <c r="B111" s="7">
        <v>45986</v>
      </c>
      <c r="C111" t="s">
        <v>22</v>
      </c>
      <c r="D111" t="s">
        <v>30</v>
      </c>
      <c r="E111" t="s">
        <v>122</v>
      </c>
      <c r="F111" t="s">
        <v>123</v>
      </c>
      <c r="G111" t="s">
        <v>58</v>
      </c>
      <c r="H111" t="s">
        <v>84</v>
      </c>
      <c r="I111" s="3">
        <v>10588.5</v>
      </c>
      <c r="J111">
        <v>1</v>
      </c>
      <c r="K111" s="5">
        <v>0.1</v>
      </c>
      <c r="L111" s="3">
        <v>782.5</v>
      </c>
      <c r="M111" t="s">
        <v>27</v>
      </c>
      <c r="N111">
        <f t="shared" si="2"/>
        <v>2025</v>
      </c>
      <c r="O111" t="str">
        <f t="shared" si="3"/>
        <v>November</v>
      </c>
    </row>
    <row r="112" spans="1:15" x14ac:dyDescent="0.2">
      <c r="A112" t="s">
        <v>216</v>
      </c>
      <c r="B112" s="7">
        <v>46017</v>
      </c>
      <c r="C112" t="s">
        <v>37</v>
      </c>
      <c r="D112" t="s">
        <v>30</v>
      </c>
      <c r="E112" t="s">
        <v>72</v>
      </c>
      <c r="F112" t="s">
        <v>217</v>
      </c>
      <c r="G112" t="s">
        <v>33</v>
      </c>
      <c r="H112" t="s">
        <v>34</v>
      </c>
      <c r="I112" s="3">
        <v>31268.1</v>
      </c>
      <c r="J112">
        <v>3</v>
      </c>
      <c r="K112" s="5">
        <v>0.15</v>
      </c>
      <c r="L112" s="3">
        <v>2135.31</v>
      </c>
      <c r="M112" t="s">
        <v>27</v>
      </c>
      <c r="N112">
        <f t="shared" si="2"/>
        <v>2025</v>
      </c>
      <c r="O112" t="str">
        <f t="shared" si="3"/>
        <v>December</v>
      </c>
    </row>
    <row r="113" spans="1:15" x14ac:dyDescent="0.2">
      <c r="A113" t="s">
        <v>218</v>
      </c>
      <c r="B113" s="7">
        <v>45608</v>
      </c>
      <c r="C113" t="s">
        <v>55</v>
      </c>
      <c r="D113" t="s">
        <v>15</v>
      </c>
      <c r="E113" t="s">
        <v>61</v>
      </c>
      <c r="F113" t="s">
        <v>144</v>
      </c>
      <c r="G113" t="s">
        <v>42</v>
      </c>
      <c r="H113" t="s">
        <v>98</v>
      </c>
      <c r="I113" s="3">
        <v>3927.6</v>
      </c>
      <c r="J113">
        <v>2</v>
      </c>
      <c r="K113" s="5">
        <v>0.1</v>
      </c>
      <c r="L113" s="3">
        <v>230.34</v>
      </c>
      <c r="M113" t="s">
        <v>40</v>
      </c>
      <c r="N113">
        <f t="shared" si="2"/>
        <v>2024</v>
      </c>
      <c r="O113" t="str">
        <f t="shared" si="3"/>
        <v>November</v>
      </c>
    </row>
    <row r="114" spans="1:15" x14ac:dyDescent="0.2">
      <c r="A114" t="s">
        <v>219</v>
      </c>
      <c r="B114" s="7">
        <v>45831</v>
      </c>
      <c r="C114" t="s">
        <v>14</v>
      </c>
      <c r="D114" t="s">
        <v>30</v>
      </c>
      <c r="E114" t="s">
        <v>122</v>
      </c>
      <c r="F114" t="s">
        <v>131</v>
      </c>
      <c r="G114" t="s">
        <v>33</v>
      </c>
      <c r="H114" t="s">
        <v>48</v>
      </c>
      <c r="I114" s="3">
        <v>25180.799999999999</v>
      </c>
      <c r="J114">
        <v>3</v>
      </c>
      <c r="K114" s="5">
        <v>0.2</v>
      </c>
      <c r="L114" s="3">
        <v>4637.67</v>
      </c>
      <c r="M114" t="s">
        <v>27</v>
      </c>
      <c r="N114">
        <f t="shared" si="2"/>
        <v>2025</v>
      </c>
      <c r="O114" t="str">
        <f t="shared" si="3"/>
        <v>June</v>
      </c>
    </row>
    <row r="115" spans="1:15" x14ac:dyDescent="0.2">
      <c r="A115" t="s">
        <v>220</v>
      </c>
      <c r="B115" s="7">
        <v>45984</v>
      </c>
      <c r="C115" t="s">
        <v>76</v>
      </c>
      <c r="D115" t="s">
        <v>15</v>
      </c>
      <c r="E115" t="s">
        <v>46</v>
      </c>
      <c r="F115" t="s">
        <v>176</v>
      </c>
      <c r="G115" t="s">
        <v>58</v>
      </c>
      <c r="H115" t="s">
        <v>74</v>
      </c>
      <c r="I115" s="3">
        <v>5676</v>
      </c>
      <c r="J115">
        <v>3</v>
      </c>
      <c r="K115" s="5">
        <v>0</v>
      </c>
      <c r="L115" s="3">
        <v>920.49</v>
      </c>
      <c r="M115" t="s">
        <v>49</v>
      </c>
      <c r="N115">
        <f t="shared" si="2"/>
        <v>2025</v>
      </c>
      <c r="O115" t="str">
        <f t="shared" si="3"/>
        <v>November</v>
      </c>
    </row>
    <row r="116" spans="1:15" x14ac:dyDescent="0.2">
      <c r="A116" t="s">
        <v>221</v>
      </c>
      <c r="B116" s="7">
        <v>45876</v>
      </c>
      <c r="C116" t="s">
        <v>29</v>
      </c>
      <c r="D116" t="s">
        <v>15</v>
      </c>
      <c r="E116" t="s">
        <v>65</v>
      </c>
      <c r="F116" t="s">
        <v>222</v>
      </c>
      <c r="G116" t="s">
        <v>58</v>
      </c>
      <c r="H116" t="s">
        <v>74</v>
      </c>
      <c r="I116" s="3">
        <v>3218.4</v>
      </c>
      <c r="J116">
        <v>4</v>
      </c>
      <c r="K116" s="5">
        <v>0.1</v>
      </c>
      <c r="L116" s="3">
        <v>613.62</v>
      </c>
      <c r="M116" t="s">
        <v>49</v>
      </c>
      <c r="N116">
        <f t="shared" si="2"/>
        <v>2025</v>
      </c>
      <c r="O116" t="str">
        <f t="shared" si="3"/>
        <v>August</v>
      </c>
    </row>
    <row r="117" spans="1:15" x14ac:dyDescent="0.2">
      <c r="A117" t="s">
        <v>223</v>
      </c>
      <c r="B117" s="7">
        <v>45859</v>
      </c>
      <c r="C117" t="s">
        <v>37</v>
      </c>
      <c r="D117" t="s">
        <v>30</v>
      </c>
      <c r="E117" t="s">
        <v>122</v>
      </c>
      <c r="F117" t="s">
        <v>131</v>
      </c>
      <c r="G117" t="s">
        <v>58</v>
      </c>
      <c r="H117" t="s">
        <v>74</v>
      </c>
      <c r="I117" s="3">
        <v>22929.599999999999</v>
      </c>
      <c r="J117">
        <v>3</v>
      </c>
      <c r="K117" s="5">
        <v>0.15</v>
      </c>
      <c r="L117" s="3">
        <v>4983.1400000000003</v>
      </c>
      <c r="M117" t="s">
        <v>35</v>
      </c>
      <c r="N117">
        <f t="shared" si="2"/>
        <v>2025</v>
      </c>
      <c r="O117" t="str">
        <f t="shared" si="3"/>
        <v>July</v>
      </c>
    </row>
    <row r="118" spans="1:15" x14ac:dyDescent="0.2">
      <c r="A118" t="s">
        <v>224</v>
      </c>
      <c r="B118" s="7">
        <v>45519</v>
      </c>
      <c r="C118" t="s">
        <v>29</v>
      </c>
      <c r="D118" t="s">
        <v>23</v>
      </c>
      <c r="E118" t="s">
        <v>79</v>
      </c>
      <c r="F118" t="s">
        <v>80</v>
      </c>
      <c r="G118" t="s">
        <v>18</v>
      </c>
      <c r="H118" t="s">
        <v>26</v>
      </c>
      <c r="I118" s="3">
        <v>411604</v>
      </c>
      <c r="J118">
        <v>8</v>
      </c>
      <c r="K118" s="5">
        <v>0.15</v>
      </c>
      <c r="L118" s="3">
        <v>25043.1</v>
      </c>
      <c r="M118" t="s">
        <v>27</v>
      </c>
      <c r="N118">
        <f t="shared" si="2"/>
        <v>2024</v>
      </c>
      <c r="O118" t="str">
        <f t="shared" si="3"/>
        <v>August</v>
      </c>
    </row>
    <row r="119" spans="1:15" x14ac:dyDescent="0.2">
      <c r="A119" t="s">
        <v>225</v>
      </c>
      <c r="B119" s="7">
        <v>45618</v>
      </c>
      <c r="C119" t="s">
        <v>37</v>
      </c>
      <c r="D119" t="s">
        <v>23</v>
      </c>
      <c r="E119" t="s">
        <v>38</v>
      </c>
      <c r="F119" t="s">
        <v>39</v>
      </c>
      <c r="G119" t="s">
        <v>18</v>
      </c>
      <c r="H119" t="s">
        <v>63</v>
      </c>
      <c r="I119" s="3">
        <v>89915.4</v>
      </c>
      <c r="J119">
        <v>6</v>
      </c>
      <c r="K119" s="5">
        <v>0.1</v>
      </c>
      <c r="L119" s="3">
        <v>8983.25</v>
      </c>
      <c r="M119" t="s">
        <v>27</v>
      </c>
      <c r="N119">
        <f t="shared" si="2"/>
        <v>2024</v>
      </c>
      <c r="O119" t="str">
        <f t="shared" si="3"/>
        <v>November</v>
      </c>
    </row>
    <row r="120" spans="1:15" x14ac:dyDescent="0.2">
      <c r="A120" t="s">
        <v>226</v>
      </c>
      <c r="B120" s="7">
        <v>45373</v>
      </c>
      <c r="C120" t="s">
        <v>14</v>
      </c>
      <c r="D120" t="s">
        <v>23</v>
      </c>
      <c r="E120" t="s">
        <v>24</v>
      </c>
      <c r="F120" t="s">
        <v>86</v>
      </c>
      <c r="G120" t="s">
        <v>18</v>
      </c>
      <c r="H120" t="s">
        <v>19</v>
      </c>
      <c r="I120" s="3">
        <v>122234.4</v>
      </c>
      <c r="J120">
        <v>3</v>
      </c>
      <c r="K120" s="5">
        <v>0.2</v>
      </c>
      <c r="L120" s="3">
        <v>3795.41</v>
      </c>
      <c r="M120" t="s">
        <v>27</v>
      </c>
      <c r="N120">
        <f t="shared" si="2"/>
        <v>2024</v>
      </c>
      <c r="O120" t="str">
        <f t="shared" si="3"/>
        <v>March</v>
      </c>
    </row>
    <row r="121" spans="1:15" x14ac:dyDescent="0.2">
      <c r="A121" t="s">
        <v>227</v>
      </c>
      <c r="B121" s="7">
        <v>45929</v>
      </c>
      <c r="C121" t="s">
        <v>29</v>
      </c>
      <c r="D121" t="s">
        <v>23</v>
      </c>
      <c r="E121" t="s">
        <v>24</v>
      </c>
      <c r="F121" t="s">
        <v>86</v>
      </c>
      <c r="G121" t="s">
        <v>58</v>
      </c>
      <c r="H121" t="s">
        <v>95</v>
      </c>
      <c r="I121" s="3">
        <v>79556.800000000003</v>
      </c>
      <c r="J121">
        <v>4</v>
      </c>
      <c r="K121" s="5">
        <v>0.05</v>
      </c>
      <c r="L121" s="3">
        <v>12050.08</v>
      </c>
      <c r="M121" t="s">
        <v>20</v>
      </c>
      <c r="N121">
        <f t="shared" si="2"/>
        <v>2025</v>
      </c>
      <c r="O121" t="str">
        <f t="shared" si="3"/>
        <v>September</v>
      </c>
    </row>
    <row r="122" spans="1:15" x14ac:dyDescent="0.2">
      <c r="A122" t="s">
        <v>228</v>
      </c>
      <c r="B122" s="7">
        <v>45876</v>
      </c>
      <c r="C122" t="s">
        <v>22</v>
      </c>
      <c r="D122" t="s">
        <v>23</v>
      </c>
      <c r="E122" t="s">
        <v>38</v>
      </c>
      <c r="F122" t="s">
        <v>39</v>
      </c>
      <c r="G122" t="s">
        <v>18</v>
      </c>
      <c r="H122" t="s">
        <v>26</v>
      </c>
      <c r="I122" s="3">
        <v>48691.199999999997</v>
      </c>
      <c r="J122">
        <v>3</v>
      </c>
      <c r="K122" s="5">
        <v>0.2</v>
      </c>
      <c r="L122" s="3">
        <v>4896.54</v>
      </c>
      <c r="M122" t="s">
        <v>40</v>
      </c>
      <c r="N122">
        <f t="shared" si="2"/>
        <v>2025</v>
      </c>
      <c r="O122" t="str">
        <f t="shared" si="3"/>
        <v>August</v>
      </c>
    </row>
    <row r="123" spans="1:15" x14ac:dyDescent="0.2">
      <c r="A123" t="s">
        <v>229</v>
      </c>
      <c r="B123" s="7">
        <v>45551</v>
      </c>
      <c r="C123" t="s">
        <v>14</v>
      </c>
      <c r="D123" t="s">
        <v>15</v>
      </c>
      <c r="E123" t="s">
        <v>16</v>
      </c>
      <c r="F123" t="s">
        <v>230</v>
      </c>
      <c r="G123" t="s">
        <v>42</v>
      </c>
      <c r="H123" t="s">
        <v>102</v>
      </c>
      <c r="I123" s="3">
        <v>236.3</v>
      </c>
      <c r="J123">
        <v>1</v>
      </c>
      <c r="K123" s="5">
        <v>0.15</v>
      </c>
      <c r="L123" s="3">
        <v>56.41</v>
      </c>
      <c r="M123" t="s">
        <v>27</v>
      </c>
      <c r="N123">
        <f t="shared" si="2"/>
        <v>2024</v>
      </c>
      <c r="O123" t="str">
        <f t="shared" si="3"/>
        <v>September</v>
      </c>
    </row>
    <row r="124" spans="1:15" x14ac:dyDescent="0.2">
      <c r="A124" t="s">
        <v>231</v>
      </c>
      <c r="B124" s="7">
        <v>45950</v>
      </c>
      <c r="C124" t="s">
        <v>55</v>
      </c>
      <c r="D124" t="s">
        <v>23</v>
      </c>
      <c r="E124" t="s">
        <v>79</v>
      </c>
      <c r="F124" t="s">
        <v>93</v>
      </c>
      <c r="G124" t="s">
        <v>33</v>
      </c>
      <c r="H124" t="s">
        <v>128</v>
      </c>
      <c r="I124" s="3">
        <v>47726.400000000001</v>
      </c>
      <c r="J124">
        <v>6</v>
      </c>
      <c r="K124" s="5">
        <v>0.2</v>
      </c>
      <c r="L124" s="3">
        <v>4663.32</v>
      </c>
      <c r="M124" t="s">
        <v>49</v>
      </c>
      <c r="N124">
        <f t="shared" si="2"/>
        <v>2025</v>
      </c>
      <c r="O124" t="str">
        <f t="shared" si="3"/>
        <v>October</v>
      </c>
    </row>
    <row r="125" spans="1:15" x14ac:dyDescent="0.2">
      <c r="A125" t="s">
        <v>232</v>
      </c>
      <c r="B125" s="7">
        <v>45334</v>
      </c>
      <c r="C125" t="s">
        <v>45</v>
      </c>
      <c r="D125" t="s">
        <v>15</v>
      </c>
      <c r="E125" t="s">
        <v>61</v>
      </c>
      <c r="F125" t="s">
        <v>111</v>
      </c>
      <c r="G125" t="s">
        <v>33</v>
      </c>
      <c r="H125" t="s">
        <v>48</v>
      </c>
      <c r="I125" s="3">
        <v>7400</v>
      </c>
      <c r="J125">
        <v>8</v>
      </c>
      <c r="K125" s="5">
        <v>0</v>
      </c>
      <c r="L125" s="3">
        <v>1762.84</v>
      </c>
      <c r="M125" t="s">
        <v>27</v>
      </c>
      <c r="N125">
        <f t="shared" si="2"/>
        <v>2024</v>
      </c>
      <c r="O125" t="str">
        <f t="shared" si="3"/>
        <v>February</v>
      </c>
    </row>
    <row r="126" spans="1:15" x14ac:dyDescent="0.2">
      <c r="A126" t="s">
        <v>233</v>
      </c>
      <c r="B126" s="7">
        <v>45668</v>
      </c>
      <c r="C126" t="s">
        <v>22</v>
      </c>
      <c r="D126" t="s">
        <v>15</v>
      </c>
      <c r="E126" t="s">
        <v>61</v>
      </c>
      <c r="F126" t="s">
        <v>111</v>
      </c>
      <c r="G126" t="s">
        <v>58</v>
      </c>
      <c r="H126" t="s">
        <v>84</v>
      </c>
      <c r="I126" s="3">
        <v>1062</v>
      </c>
      <c r="J126">
        <v>4</v>
      </c>
      <c r="K126" s="5">
        <v>0.1</v>
      </c>
      <c r="L126" s="3">
        <v>116.44</v>
      </c>
      <c r="M126" t="s">
        <v>49</v>
      </c>
      <c r="N126">
        <f t="shared" si="2"/>
        <v>2025</v>
      </c>
      <c r="O126" t="str">
        <f t="shared" si="3"/>
        <v>January</v>
      </c>
    </row>
    <row r="127" spans="1:15" x14ac:dyDescent="0.2">
      <c r="A127" t="s">
        <v>234</v>
      </c>
      <c r="B127" s="7">
        <v>45376</v>
      </c>
      <c r="C127" t="s">
        <v>22</v>
      </c>
      <c r="D127" t="s">
        <v>15</v>
      </c>
      <c r="E127" t="s">
        <v>61</v>
      </c>
      <c r="F127" t="s">
        <v>111</v>
      </c>
      <c r="G127" t="s">
        <v>58</v>
      </c>
      <c r="H127" t="s">
        <v>84</v>
      </c>
      <c r="I127" s="3">
        <v>10265.6</v>
      </c>
      <c r="J127">
        <v>8</v>
      </c>
      <c r="K127" s="5">
        <v>0.2</v>
      </c>
      <c r="L127" s="3">
        <v>855.58</v>
      </c>
      <c r="M127" t="s">
        <v>20</v>
      </c>
      <c r="N127">
        <f t="shared" si="2"/>
        <v>2024</v>
      </c>
      <c r="O127" t="str">
        <f t="shared" si="3"/>
        <v>March</v>
      </c>
    </row>
    <row r="128" spans="1:15" x14ac:dyDescent="0.2">
      <c r="A128" t="s">
        <v>235</v>
      </c>
      <c r="B128" s="7">
        <v>45728</v>
      </c>
      <c r="C128" t="s">
        <v>55</v>
      </c>
      <c r="D128" t="s">
        <v>30</v>
      </c>
      <c r="E128" t="s">
        <v>72</v>
      </c>
      <c r="F128" t="s">
        <v>207</v>
      </c>
      <c r="G128" t="s">
        <v>33</v>
      </c>
      <c r="H128" t="s">
        <v>34</v>
      </c>
      <c r="I128" s="3">
        <v>20781</v>
      </c>
      <c r="J128">
        <v>2</v>
      </c>
      <c r="K128" s="5">
        <v>0.1</v>
      </c>
      <c r="L128" s="3">
        <v>2996.27</v>
      </c>
      <c r="M128" t="s">
        <v>49</v>
      </c>
      <c r="N128">
        <f t="shared" si="2"/>
        <v>2025</v>
      </c>
      <c r="O128" t="str">
        <f t="shared" si="3"/>
        <v>March</v>
      </c>
    </row>
    <row r="129" spans="1:15" x14ac:dyDescent="0.2">
      <c r="A129" t="s">
        <v>236</v>
      </c>
      <c r="B129" s="7">
        <v>45987</v>
      </c>
      <c r="C129" t="s">
        <v>55</v>
      </c>
      <c r="D129" t="s">
        <v>30</v>
      </c>
      <c r="E129" t="s">
        <v>122</v>
      </c>
      <c r="F129" t="s">
        <v>123</v>
      </c>
      <c r="G129" t="s">
        <v>18</v>
      </c>
      <c r="H129" t="s">
        <v>19</v>
      </c>
      <c r="I129" s="3">
        <v>15940.05</v>
      </c>
      <c r="J129">
        <v>7</v>
      </c>
      <c r="K129" s="5">
        <v>0.15</v>
      </c>
      <c r="L129" s="3">
        <v>1835.69</v>
      </c>
      <c r="M129" t="s">
        <v>20</v>
      </c>
      <c r="N129">
        <f t="shared" si="2"/>
        <v>2025</v>
      </c>
      <c r="O129" t="str">
        <f t="shared" si="3"/>
        <v>November</v>
      </c>
    </row>
    <row r="130" spans="1:15" x14ac:dyDescent="0.2">
      <c r="A130" t="s">
        <v>237</v>
      </c>
      <c r="B130" s="7">
        <v>45325</v>
      </c>
      <c r="C130" t="s">
        <v>90</v>
      </c>
      <c r="D130" t="s">
        <v>23</v>
      </c>
      <c r="E130" t="s">
        <v>172</v>
      </c>
      <c r="F130" t="s">
        <v>182</v>
      </c>
      <c r="G130" t="s">
        <v>58</v>
      </c>
      <c r="H130" t="s">
        <v>95</v>
      </c>
      <c r="I130" s="3">
        <v>28332.2</v>
      </c>
      <c r="J130">
        <v>2</v>
      </c>
      <c r="K130" s="5">
        <v>0.15</v>
      </c>
      <c r="L130" s="3">
        <v>6584.22</v>
      </c>
      <c r="M130" t="s">
        <v>40</v>
      </c>
      <c r="N130">
        <f t="shared" ref="N130:N193" si="4">YEAR(B130)</f>
        <v>2024</v>
      </c>
      <c r="O130" t="str">
        <f t="shared" ref="O130:O193" si="5">TEXT(B130,"mmmm")</f>
        <v>February</v>
      </c>
    </row>
    <row r="131" spans="1:15" x14ac:dyDescent="0.2">
      <c r="A131" t="s">
        <v>238</v>
      </c>
      <c r="B131" s="7">
        <v>45957</v>
      </c>
      <c r="C131" t="s">
        <v>68</v>
      </c>
      <c r="D131" t="s">
        <v>15</v>
      </c>
      <c r="E131" t="s">
        <v>61</v>
      </c>
      <c r="F131" t="s">
        <v>62</v>
      </c>
      <c r="G131" t="s">
        <v>42</v>
      </c>
      <c r="H131" t="s">
        <v>119</v>
      </c>
      <c r="I131" s="3">
        <v>4082.4</v>
      </c>
      <c r="J131">
        <v>2</v>
      </c>
      <c r="K131" s="5">
        <v>0.1</v>
      </c>
      <c r="L131" s="3">
        <v>549.52</v>
      </c>
      <c r="M131" t="s">
        <v>40</v>
      </c>
      <c r="N131">
        <f t="shared" si="4"/>
        <v>2025</v>
      </c>
      <c r="O131" t="str">
        <f t="shared" si="5"/>
        <v>October</v>
      </c>
    </row>
    <row r="132" spans="1:15" x14ac:dyDescent="0.2">
      <c r="A132" t="s">
        <v>239</v>
      </c>
      <c r="B132" s="7">
        <v>45511</v>
      </c>
      <c r="C132" t="s">
        <v>90</v>
      </c>
      <c r="D132" t="s">
        <v>23</v>
      </c>
      <c r="E132" t="s">
        <v>82</v>
      </c>
      <c r="F132" t="s">
        <v>240</v>
      </c>
      <c r="G132" t="s">
        <v>33</v>
      </c>
      <c r="H132" t="s">
        <v>109</v>
      </c>
      <c r="I132" s="3">
        <v>384734.7</v>
      </c>
      <c r="J132">
        <v>7</v>
      </c>
      <c r="K132" s="5">
        <v>0.1</v>
      </c>
      <c r="L132" s="3">
        <v>75333.960000000006</v>
      </c>
      <c r="M132" t="s">
        <v>27</v>
      </c>
      <c r="N132">
        <f t="shared" si="4"/>
        <v>2024</v>
      </c>
      <c r="O132" t="str">
        <f t="shared" si="5"/>
        <v>August</v>
      </c>
    </row>
    <row r="133" spans="1:15" x14ac:dyDescent="0.2">
      <c r="A133" t="s">
        <v>241</v>
      </c>
      <c r="B133" s="7">
        <v>45619</v>
      </c>
      <c r="C133" t="s">
        <v>45</v>
      </c>
      <c r="D133" t="s">
        <v>15</v>
      </c>
      <c r="E133" t="s">
        <v>61</v>
      </c>
      <c r="F133" t="s">
        <v>111</v>
      </c>
      <c r="G133" t="s">
        <v>33</v>
      </c>
      <c r="H133" t="s">
        <v>128</v>
      </c>
      <c r="I133" s="3">
        <v>3846</v>
      </c>
      <c r="J133">
        <v>2</v>
      </c>
      <c r="K133" s="5">
        <v>0</v>
      </c>
      <c r="L133" s="3">
        <v>931.13</v>
      </c>
      <c r="M133" t="s">
        <v>20</v>
      </c>
      <c r="N133">
        <f t="shared" si="4"/>
        <v>2024</v>
      </c>
      <c r="O133" t="str">
        <f t="shared" si="5"/>
        <v>November</v>
      </c>
    </row>
    <row r="134" spans="1:15" x14ac:dyDescent="0.2">
      <c r="A134" t="s">
        <v>242</v>
      </c>
      <c r="B134" s="7">
        <v>45497</v>
      </c>
      <c r="C134" t="s">
        <v>55</v>
      </c>
      <c r="D134" t="s">
        <v>15</v>
      </c>
      <c r="E134" t="s">
        <v>56</v>
      </c>
      <c r="F134" t="s">
        <v>88</v>
      </c>
      <c r="G134" t="s">
        <v>42</v>
      </c>
      <c r="H134" t="s">
        <v>119</v>
      </c>
      <c r="I134" s="3">
        <v>6221.55</v>
      </c>
      <c r="J134">
        <v>3</v>
      </c>
      <c r="K134" s="5">
        <v>0.05</v>
      </c>
      <c r="L134" s="3">
        <v>570.97</v>
      </c>
      <c r="M134" t="s">
        <v>40</v>
      </c>
      <c r="N134">
        <f t="shared" si="4"/>
        <v>2024</v>
      </c>
      <c r="O134" t="str">
        <f t="shared" si="5"/>
        <v>July</v>
      </c>
    </row>
    <row r="135" spans="1:15" x14ac:dyDescent="0.2">
      <c r="A135" t="s">
        <v>243</v>
      </c>
      <c r="B135" s="7">
        <v>45782</v>
      </c>
      <c r="C135" t="s">
        <v>51</v>
      </c>
      <c r="D135" t="s">
        <v>30</v>
      </c>
      <c r="E135" t="s">
        <v>52</v>
      </c>
      <c r="F135" t="s">
        <v>127</v>
      </c>
      <c r="G135" t="s">
        <v>42</v>
      </c>
      <c r="H135" t="s">
        <v>119</v>
      </c>
      <c r="I135" s="3">
        <v>9787.5</v>
      </c>
      <c r="J135">
        <v>3</v>
      </c>
      <c r="K135" s="5">
        <v>0.1</v>
      </c>
      <c r="L135" s="3">
        <v>1317.71</v>
      </c>
      <c r="M135" t="s">
        <v>49</v>
      </c>
      <c r="N135">
        <f t="shared" si="4"/>
        <v>2025</v>
      </c>
      <c r="O135" t="str">
        <f t="shared" si="5"/>
        <v>May</v>
      </c>
    </row>
    <row r="136" spans="1:15" x14ac:dyDescent="0.2">
      <c r="A136" t="s">
        <v>244</v>
      </c>
      <c r="B136" s="7">
        <v>45856</v>
      </c>
      <c r="C136" t="s">
        <v>90</v>
      </c>
      <c r="D136" t="s">
        <v>30</v>
      </c>
      <c r="E136" t="s">
        <v>72</v>
      </c>
      <c r="F136" t="s">
        <v>207</v>
      </c>
      <c r="G136" t="s">
        <v>18</v>
      </c>
      <c r="H136" t="s">
        <v>26</v>
      </c>
      <c r="I136" s="3">
        <v>28915.200000000001</v>
      </c>
      <c r="J136">
        <v>2</v>
      </c>
      <c r="K136" s="5">
        <v>0.1</v>
      </c>
      <c r="L136" s="3">
        <v>2332.5</v>
      </c>
      <c r="M136" t="s">
        <v>40</v>
      </c>
      <c r="N136">
        <f t="shared" si="4"/>
        <v>2025</v>
      </c>
      <c r="O136" t="str">
        <f t="shared" si="5"/>
        <v>July</v>
      </c>
    </row>
    <row r="137" spans="1:15" x14ac:dyDescent="0.2">
      <c r="A137" t="s">
        <v>245</v>
      </c>
      <c r="B137" s="7">
        <v>45522</v>
      </c>
      <c r="C137" t="s">
        <v>45</v>
      </c>
      <c r="D137" t="s">
        <v>23</v>
      </c>
      <c r="E137" t="s">
        <v>38</v>
      </c>
      <c r="F137" t="s">
        <v>39</v>
      </c>
      <c r="G137" t="s">
        <v>18</v>
      </c>
      <c r="H137" t="s">
        <v>70</v>
      </c>
      <c r="I137" s="3">
        <v>57053.7</v>
      </c>
      <c r="J137">
        <v>3</v>
      </c>
      <c r="K137" s="5">
        <v>0.1</v>
      </c>
      <c r="L137" s="3">
        <v>13804</v>
      </c>
      <c r="M137" t="s">
        <v>35</v>
      </c>
      <c r="N137">
        <f t="shared" si="4"/>
        <v>2024</v>
      </c>
      <c r="O137" t="str">
        <f t="shared" si="5"/>
        <v>August</v>
      </c>
    </row>
    <row r="138" spans="1:15" x14ac:dyDescent="0.2">
      <c r="A138" t="s">
        <v>246</v>
      </c>
      <c r="B138" s="7">
        <v>45464</v>
      </c>
      <c r="C138" t="s">
        <v>90</v>
      </c>
      <c r="D138" t="s">
        <v>30</v>
      </c>
      <c r="E138" t="s">
        <v>52</v>
      </c>
      <c r="F138" t="s">
        <v>118</v>
      </c>
      <c r="G138" t="s">
        <v>42</v>
      </c>
      <c r="H138" t="s">
        <v>98</v>
      </c>
      <c r="I138" s="3">
        <v>53610</v>
      </c>
      <c r="J138">
        <v>5</v>
      </c>
      <c r="K138" s="5">
        <v>0</v>
      </c>
      <c r="L138" s="3">
        <v>9677.39</v>
      </c>
      <c r="M138" t="s">
        <v>35</v>
      </c>
      <c r="N138">
        <f t="shared" si="4"/>
        <v>2024</v>
      </c>
      <c r="O138" t="str">
        <f t="shared" si="5"/>
        <v>June</v>
      </c>
    </row>
    <row r="139" spans="1:15" x14ac:dyDescent="0.2">
      <c r="A139" t="s">
        <v>247</v>
      </c>
      <c r="B139" s="7">
        <v>45946</v>
      </c>
      <c r="C139" t="s">
        <v>14</v>
      </c>
      <c r="D139" t="s">
        <v>23</v>
      </c>
      <c r="E139" t="s">
        <v>24</v>
      </c>
      <c r="F139" t="s">
        <v>77</v>
      </c>
      <c r="G139" t="s">
        <v>42</v>
      </c>
      <c r="H139" t="s">
        <v>102</v>
      </c>
      <c r="I139" s="3">
        <v>6686.4</v>
      </c>
      <c r="J139">
        <v>2</v>
      </c>
      <c r="K139" s="5">
        <v>0.2</v>
      </c>
      <c r="L139" s="3">
        <v>757.69</v>
      </c>
      <c r="M139" t="s">
        <v>49</v>
      </c>
      <c r="N139">
        <f t="shared" si="4"/>
        <v>2025</v>
      </c>
      <c r="O139" t="str">
        <f t="shared" si="5"/>
        <v>October</v>
      </c>
    </row>
    <row r="140" spans="1:15" x14ac:dyDescent="0.2">
      <c r="A140" t="s">
        <v>248</v>
      </c>
      <c r="B140" s="7">
        <v>45353</v>
      </c>
      <c r="C140" t="s">
        <v>55</v>
      </c>
      <c r="D140" t="s">
        <v>15</v>
      </c>
      <c r="E140" t="s">
        <v>56</v>
      </c>
      <c r="F140" t="s">
        <v>57</v>
      </c>
      <c r="G140" t="s">
        <v>42</v>
      </c>
      <c r="H140" t="s">
        <v>119</v>
      </c>
      <c r="I140" s="3">
        <v>4481.2</v>
      </c>
      <c r="J140">
        <v>4</v>
      </c>
      <c r="K140" s="5">
        <v>0.15</v>
      </c>
      <c r="L140" s="3">
        <v>255.85</v>
      </c>
      <c r="M140" t="s">
        <v>49</v>
      </c>
      <c r="N140">
        <f t="shared" si="4"/>
        <v>2024</v>
      </c>
      <c r="O140" t="str">
        <f t="shared" si="5"/>
        <v>March</v>
      </c>
    </row>
    <row r="141" spans="1:15" x14ac:dyDescent="0.2">
      <c r="A141" t="s">
        <v>249</v>
      </c>
      <c r="B141" s="7">
        <v>45671</v>
      </c>
      <c r="C141" t="s">
        <v>51</v>
      </c>
      <c r="D141" t="s">
        <v>30</v>
      </c>
      <c r="E141" t="s">
        <v>122</v>
      </c>
      <c r="F141" t="s">
        <v>160</v>
      </c>
      <c r="G141" t="s">
        <v>58</v>
      </c>
      <c r="H141" t="s">
        <v>74</v>
      </c>
      <c r="I141" s="3">
        <v>28720.65</v>
      </c>
      <c r="J141">
        <v>3</v>
      </c>
      <c r="K141" s="5">
        <v>0.15</v>
      </c>
      <c r="L141" s="3">
        <v>1971.77</v>
      </c>
      <c r="M141" t="s">
        <v>35</v>
      </c>
      <c r="N141">
        <f t="shared" si="4"/>
        <v>2025</v>
      </c>
      <c r="O141" t="str">
        <f t="shared" si="5"/>
        <v>January</v>
      </c>
    </row>
    <row r="142" spans="1:15" x14ac:dyDescent="0.2">
      <c r="A142" t="s">
        <v>250</v>
      </c>
      <c r="B142" s="7">
        <v>45685</v>
      </c>
      <c r="C142" t="s">
        <v>90</v>
      </c>
      <c r="D142" t="s">
        <v>23</v>
      </c>
      <c r="E142" t="s">
        <v>79</v>
      </c>
      <c r="F142" t="s">
        <v>107</v>
      </c>
      <c r="G142" t="s">
        <v>33</v>
      </c>
      <c r="H142" t="s">
        <v>109</v>
      </c>
      <c r="I142" s="3">
        <v>153320</v>
      </c>
      <c r="J142">
        <v>5</v>
      </c>
      <c r="K142" s="5">
        <v>0</v>
      </c>
      <c r="L142" s="3">
        <v>13817.36</v>
      </c>
      <c r="M142" t="s">
        <v>49</v>
      </c>
      <c r="N142">
        <f t="shared" si="4"/>
        <v>2025</v>
      </c>
      <c r="O142" t="str">
        <f t="shared" si="5"/>
        <v>January</v>
      </c>
    </row>
    <row r="143" spans="1:15" x14ac:dyDescent="0.2">
      <c r="A143" t="s">
        <v>251</v>
      </c>
      <c r="B143" s="7">
        <v>45801</v>
      </c>
      <c r="C143" t="s">
        <v>14</v>
      </c>
      <c r="D143" t="s">
        <v>23</v>
      </c>
      <c r="E143" t="s">
        <v>24</v>
      </c>
      <c r="F143" t="s">
        <v>77</v>
      </c>
      <c r="G143" t="s">
        <v>42</v>
      </c>
      <c r="H143" t="s">
        <v>119</v>
      </c>
      <c r="I143" s="3">
        <v>86327.7</v>
      </c>
      <c r="J143">
        <v>3</v>
      </c>
      <c r="K143" s="5">
        <v>0.15</v>
      </c>
      <c r="L143" s="3">
        <v>18846.64</v>
      </c>
      <c r="M143" t="s">
        <v>20</v>
      </c>
      <c r="N143">
        <f t="shared" si="4"/>
        <v>2025</v>
      </c>
      <c r="O143" t="str">
        <f t="shared" si="5"/>
        <v>May</v>
      </c>
    </row>
    <row r="144" spans="1:15" x14ac:dyDescent="0.2">
      <c r="A144" t="s">
        <v>252</v>
      </c>
      <c r="B144" s="7">
        <v>45961</v>
      </c>
      <c r="C144" t="s">
        <v>29</v>
      </c>
      <c r="D144" t="s">
        <v>30</v>
      </c>
      <c r="E144" t="s">
        <v>72</v>
      </c>
      <c r="F144" t="s">
        <v>217</v>
      </c>
      <c r="G144" t="s">
        <v>58</v>
      </c>
      <c r="H144" t="s">
        <v>74</v>
      </c>
      <c r="I144" s="3">
        <v>12525.6</v>
      </c>
      <c r="J144">
        <v>6</v>
      </c>
      <c r="K144" s="5">
        <v>0.15</v>
      </c>
      <c r="L144" s="3">
        <v>2029.19</v>
      </c>
      <c r="M144" t="s">
        <v>27</v>
      </c>
      <c r="N144">
        <f t="shared" si="4"/>
        <v>2025</v>
      </c>
      <c r="O144" t="str">
        <f t="shared" si="5"/>
        <v>October</v>
      </c>
    </row>
    <row r="145" spans="1:15" x14ac:dyDescent="0.2">
      <c r="A145" t="s">
        <v>253</v>
      </c>
      <c r="B145" s="7">
        <v>45344</v>
      </c>
      <c r="C145" t="s">
        <v>90</v>
      </c>
      <c r="D145" t="s">
        <v>15</v>
      </c>
      <c r="E145" t="s">
        <v>16</v>
      </c>
      <c r="F145" t="s">
        <v>17</v>
      </c>
      <c r="G145" t="s">
        <v>18</v>
      </c>
      <c r="H145" t="s">
        <v>63</v>
      </c>
      <c r="I145" s="3">
        <v>7879.5</v>
      </c>
      <c r="J145">
        <v>5</v>
      </c>
      <c r="K145" s="5">
        <v>0.1</v>
      </c>
      <c r="L145" s="3">
        <v>504.67</v>
      </c>
      <c r="M145" t="s">
        <v>35</v>
      </c>
      <c r="N145">
        <f t="shared" si="4"/>
        <v>2024</v>
      </c>
      <c r="O145" t="str">
        <f t="shared" si="5"/>
        <v>February</v>
      </c>
    </row>
    <row r="146" spans="1:15" x14ac:dyDescent="0.2">
      <c r="A146" t="s">
        <v>254</v>
      </c>
      <c r="B146" s="7">
        <v>45695</v>
      </c>
      <c r="C146" t="s">
        <v>45</v>
      </c>
      <c r="D146" t="s">
        <v>23</v>
      </c>
      <c r="E146" t="s">
        <v>79</v>
      </c>
      <c r="F146" t="s">
        <v>80</v>
      </c>
      <c r="G146" t="s">
        <v>42</v>
      </c>
      <c r="H146" t="s">
        <v>102</v>
      </c>
      <c r="I146" s="3">
        <v>389842</v>
      </c>
      <c r="J146">
        <v>8</v>
      </c>
      <c r="K146" s="5">
        <v>0.05</v>
      </c>
      <c r="L146" s="3">
        <v>102339.98</v>
      </c>
      <c r="M146" t="s">
        <v>27</v>
      </c>
      <c r="N146">
        <f t="shared" si="4"/>
        <v>2025</v>
      </c>
      <c r="O146" t="str">
        <f t="shared" si="5"/>
        <v>February</v>
      </c>
    </row>
    <row r="147" spans="1:15" x14ac:dyDescent="0.2">
      <c r="A147" t="s">
        <v>255</v>
      </c>
      <c r="B147" s="7">
        <v>45633</v>
      </c>
      <c r="C147" t="s">
        <v>29</v>
      </c>
      <c r="D147" t="s">
        <v>15</v>
      </c>
      <c r="E147" t="s">
        <v>65</v>
      </c>
      <c r="F147" t="s">
        <v>222</v>
      </c>
      <c r="G147" t="s">
        <v>33</v>
      </c>
      <c r="H147" t="s">
        <v>48</v>
      </c>
      <c r="I147" s="3">
        <v>1995</v>
      </c>
      <c r="J147">
        <v>7</v>
      </c>
      <c r="K147" s="5">
        <v>0</v>
      </c>
      <c r="L147" s="3">
        <v>214.28</v>
      </c>
      <c r="M147" t="s">
        <v>35</v>
      </c>
      <c r="N147">
        <f t="shared" si="4"/>
        <v>2024</v>
      </c>
      <c r="O147" t="str">
        <f t="shared" si="5"/>
        <v>December</v>
      </c>
    </row>
    <row r="148" spans="1:15" x14ac:dyDescent="0.2">
      <c r="A148" t="s">
        <v>256</v>
      </c>
      <c r="B148" s="7">
        <v>45813</v>
      </c>
      <c r="C148" t="s">
        <v>51</v>
      </c>
      <c r="D148" t="s">
        <v>30</v>
      </c>
      <c r="E148" t="s">
        <v>31</v>
      </c>
      <c r="F148" t="s">
        <v>188</v>
      </c>
      <c r="G148" t="s">
        <v>33</v>
      </c>
      <c r="H148" t="s">
        <v>34</v>
      </c>
      <c r="I148" s="3">
        <v>65644.800000000003</v>
      </c>
      <c r="J148">
        <v>6</v>
      </c>
      <c r="K148" s="5">
        <v>0.2</v>
      </c>
      <c r="L148" s="3">
        <v>6385.58</v>
      </c>
      <c r="M148" t="s">
        <v>49</v>
      </c>
      <c r="N148">
        <f t="shared" si="4"/>
        <v>2025</v>
      </c>
      <c r="O148" t="str">
        <f t="shared" si="5"/>
        <v>June</v>
      </c>
    </row>
    <row r="149" spans="1:15" x14ac:dyDescent="0.2">
      <c r="A149" t="s">
        <v>257</v>
      </c>
      <c r="B149" s="7">
        <v>45996</v>
      </c>
      <c r="C149" t="s">
        <v>14</v>
      </c>
      <c r="D149" t="s">
        <v>15</v>
      </c>
      <c r="E149" t="s">
        <v>56</v>
      </c>
      <c r="F149" t="s">
        <v>88</v>
      </c>
      <c r="G149" t="s">
        <v>42</v>
      </c>
      <c r="H149" t="s">
        <v>43</v>
      </c>
      <c r="I149" s="3">
        <v>8668.7999999999993</v>
      </c>
      <c r="J149">
        <v>6</v>
      </c>
      <c r="K149" s="5">
        <v>0.2</v>
      </c>
      <c r="L149" s="3">
        <v>793.5</v>
      </c>
      <c r="M149" t="s">
        <v>35</v>
      </c>
      <c r="N149">
        <f t="shared" si="4"/>
        <v>2025</v>
      </c>
      <c r="O149" t="str">
        <f t="shared" si="5"/>
        <v>December</v>
      </c>
    </row>
    <row r="150" spans="1:15" x14ac:dyDescent="0.2">
      <c r="A150" t="s">
        <v>258</v>
      </c>
      <c r="B150" s="7">
        <v>45540</v>
      </c>
      <c r="C150" t="s">
        <v>14</v>
      </c>
      <c r="D150" t="s">
        <v>30</v>
      </c>
      <c r="E150" t="s">
        <v>104</v>
      </c>
      <c r="F150" t="s">
        <v>170</v>
      </c>
      <c r="G150" t="s">
        <v>33</v>
      </c>
      <c r="H150" t="s">
        <v>128</v>
      </c>
      <c r="I150" s="3">
        <v>136632.79999999999</v>
      </c>
      <c r="J150">
        <v>8</v>
      </c>
      <c r="K150" s="5">
        <v>0.05</v>
      </c>
      <c r="L150" s="3">
        <v>31675.89</v>
      </c>
      <c r="M150" t="s">
        <v>35</v>
      </c>
      <c r="N150">
        <f t="shared" si="4"/>
        <v>2024</v>
      </c>
      <c r="O150" t="str">
        <f t="shared" si="5"/>
        <v>September</v>
      </c>
    </row>
    <row r="151" spans="1:15" x14ac:dyDescent="0.2">
      <c r="A151" t="s">
        <v>259</v>
      </c>
      <c r="B151" s="7">
        <v>45918</v>
      </c>
      <c r="C151" t="s">
        <v>29</v>
      </c>
      <c r="D151" t="s">
        <v>15</v>
      </c>
      <c r="E151" t="s">
        <v>16</v>
      </c>
      <c r="F151" t="s">
        <v>204</v>
      </c>
      <c r="G151" t="s">
        <v>33</v>
      </c>
      <c r="H151" t="s">
        <v>128</v>
      </c>
      <c r="I151" s="3">
        <v>10208.700000000001</v>
      </c>
      <c r="J151">
        <v>6</v>
      </c>
      <c r="K151" s="5">
        <v>0.05</v>
      </c>
      <c r="L151" s="3">
        <v>1526.97</v>
      </c>
      <c r="M151" t="s">
        <v>20</v>
      </c>
      <c r="N151">
        <f t="shared" si="4"/>
        <v>2025</v>
      </c>
      <c r="O151" t="str">
        <f t="shared" si="5"/>
        <v>September</v>
      </c>
    </row>
    <row r="152" spans="1:15" x14ac:dyDescent="0.2">
      <c r="A152" t="s">
        <v>260</v>
      </c>
      <c r="B152" s="7">
        <v>45837</v>
      </c>
      <c r="C152" t="s">
        <v>45</v>
      </c>
      <c r="D152" t="s">
        <v>15</v>
      </c>
      <c r="E152" t="s">
        <v>46</v>
      </c>
      <c r="F152" t="s">
        <v>116</v>
      </c>
      <c r="G152" t="s">
        <v>33</v>
      </c>
      <c r="H152" t="s">
        <v>34</v>
      </c>
      <c r="I152" s="3">
        <v>10526</v>
      </c>
      <c r="J152">
        <v>8</v>
      </c>
      <c r="K152" s="5">
        <v>0.05</v>
      </c>
      <c r="L152" s="3">
        <v>1678.19</v>
      </c>
      <c r="M152" t="s">
        <v>35</v>
      </c>
      <c r="N152">
        <f t="shared" si="4"/>
        <v>2025</v>
      </c>
      <c r="O152" t="str">
        <f t="shared" si="5"/>
        <v>June</v>
      </c>
    </row>
    <row r="153" spans="1:15" x14ac:dyDescent="0.2">
      <c r="A153" t="s">
        <v>261</v>
      </c>
      <c r="B153" s="7">
        <v>46013</v>
      </c>
      <c r="C153" t="s">
        <v>76</v>
      </c>
      <c r="D153" t="s">
        <v>30</v>
      </c>
      <c r="E153" t="s">
        <v>104</v>
      </c>
      <c r="F153" t="s">
        <v>105</v>
      </c>
      <c r="G153" t="s">
        <v>58</v>
      </c>
      <c r="H153" t="s">
        <v>74</v>
      </c>
      <c r="I153" s="3">
        <v>47614.5</v>
      </c>
      <c r="J153">
        <v>5</v>
      </c>
      <c r="K153" s="5">
        <v>0.1</v>
      </c>
      <c r="L153" s="3">
        <v>9962.61</v>
      </c>
      <c r="M153" t="s">
        <v>49</v>
      </c>
      <c r="N153">
        <f t="shared" si="4"/>
        <v>2025</v>
      </c>
      <c r="O153" t="str">
        <f t="shared" si="5"/>
        <v>December</v>
      </c>
    </row>
    <row r="154" spans="1:15" x14ac:dyDescent="0.2">
      <c r="A154" t="s">
        <v>262</v>
      </c>
      <c r="B154" s="7">
        <v>45441</v>
      </c>
      <c r="C154" t="s">
        <v>68</v>
      </c>
      <c r="D154" t="s">
        <v>30</v>
      </c>
      <c r="E154" t="s">
        <v>122</v>
      </c>
      <c r="F154" t="s">
        <v>160</v>
      </c>
      <c r="G154" t="s">
        <v>42</v>
      </c>
      <c r="H154" t="s">
        <v>119</v>
      </c>
      <c r="I154" s="3">
        <v>23833.8</v>
      </c>
      <c r="J154">
        <v>2</v>
      </c>
      <c r="K154" s="5">
        <v>0.1</v>
      </c>
      <c r="L154" s="3">
        <v>5861.25</v>
      </c>
      <c r="M154" t="s">
        <v>20</v>
      </c>
      <c r="N154">
        <f t="shared" si="4"/>
        <v>2024</v>
      </c>
      <c r="O154" t="str">
        <f t="shared" si="5"/>
        <v>May</v>
      </c>
    </row>
    <row r="155" spans="1:15" x14ac:dyDescent="0.2">
      <c r="A155" t="s">
        <v>263</v>
      </c>
      <c r="B155" s="7">
        <v>45569</v>
      </c>
      <c r="C155" t="s">
        <v>51</v>
      </c>
      <c r="D155" t="s">
        <v>30</v>
      </c>
      <c r="E155" t="s">
        <v>52</v>
      </c>
      <c r="F155" t="s">
        <v>118</v>
      </c>
      <c r="G155" t="s">
        <v>42</v>
      </c>
      <c r="H155" t="s">
        <v>43</v>
      </c>
      <c r="I155" s="3">
        <v>78365.5</v>
      </c>
      <c r="J155">
        <v>5</v>
      </c>
      <c r="K155" s="5">
        <v>0.05</v>
      </c>
      <c r="L155" s="3">
        <v>18266.240000000002</v>
      </c>
      <c r="M155" t="s">
        <v>27</v>
      </c>
      <c r="N155">
        <f t="shared" si="4"/>
        <v>2024</v>
      </c>
      <c r="O155" t="str">
        <f t="shared" si="5"/>
        <v>October</v>
      </c>
    </row>
    <row r="156" spans="1:15" x14ac:dyDescent="0.2">
      <c r="A156" t="s">
        <v>264</v>
      </c>
      <c r="B156" s="7">
        <v>45775</v>
      </c>
      <c r="C156" t="s">
        <v>37</v>
      </c>
      <c r="D156" t="s">
        <v>23</v>
      </c>
      <c r="E156" t="s">
        <v>82</v>
      </c>
      <c r="F156" t="s">
        <v>265</v>
      </c>
      <c r="G156" t="s">
        <v>33</v>
      </c>
      <c r="H156" t="s">
        <v>48</v>
      </c>
      <c r="I156" s="3">
        <v>172032</v>
      </c>
      <c r="J156">
        <v>4</v>
      </c>
      <c r="K156" s="5">
        <v>0</v>
      </c>
      <c r="L156" s="3">
        <v>27982.77</v>
      </c>
      <c r="M156" t="s">
        <v>40</v>
      </c>
      <c r="N156">
        <f t="shared" si="4"/>
        <v>2025</v>
      </c>
      <c r="O156" t="str">
        <f t="shared" si="5"/>
        <v>April</v>
      </c>
    </row>
    <row r="157" spans="1:15" x14ac:dyDescent="0.2">
      <c r="A157" t="s">
        <v>266</v>
      </c>
      <c r="B157" s="7">
        <v>45352</v>
      </c>
      <c r="C157" t="s">
        <v>37</v>
      </c>
      <c r="D157" t="s">
        <v>23</v>
      </c>
      <c r="E157" t="s">
        <v>172</v>
      </c>
      <c r="F157" t="s">
        <v>173</v>
      </c>
      <c r="G157" t="s">
        <v>33</v>
      </c>
      <c r="H157" t="s">
        <v>109</v>
      </c>
      <c r="I157" s="3">
        <v>233928</v>
      </c>
      <c r="J157">
        <v>8</v>
      </c>
      <c r="K157" s="5">
        <v>0.1</v>
      </c>
      <c r="L157" s="3">
        <v>26219.37</v>
      </c>
      <c r="M157" t="s">
        <v>35</v>
      </c>
      <c r="N157">
        <f t="shared" si="4"/>
        <v>2024</v>
      </c>
      <c r="O157" t="str">
        <f t="shared" si="5"/>
        <v>March</v>
      </c>
    </row>
    <row r="158" spans="1:15" x14ac:dyDescent="0.2">
      <c r="A158" t="s">
        <v>267</v>
      </c>
      <c r="B158" s="7">
        <v>45588</v>
      </c>
      <c r="C158" t="s">
        <v>14</v>
      </c>
      <c r="D158" t="s">
        <v>23</v>
      </c>
      <c r="E158" t="s">
        <v>172</v>
      </c>
      <c r="F158" t="s">
        <v>210</v>
      </c>
      <c r="G158" t="s">
        <v>18</v>
      </c>
      <c r="H158" t="s">
        <v>26</v>
      </c>
      <c r="I158" s="3">
        <v>159132.75</v>
      </c>
      <c r="J158">
        <v>3</v>
      </c>
      <c r="K158" s="5">
        <v>0.15</v>
      </c>
      <c r="L158" s="3">
        <v>12692.8</v>
      </c>
      <c r="M158" t="s">
        <v>20</v>
      </c>
      <c r="N158">
        <f t="shared" si="4"/>
        <v>2024</v>
      </c>
      <c r="O158" t="str">
        <f t="shared" si="5"/>
        <v>October</v>
      </c>
    </row>
    <row r="159" spans="1:15" x14ac:dyDescent="0.2">
      <c r="A159" t="s">
        <v>268</v>
      </c>
      <c r="B159" s="7">
        <v>45771</v>
      </c>
      <c r="C159" t="s">
        <v>68</v>
      </c>
      <c r="D159" t="s">
        <v>30</v>
      </c>
      <c r="E159" t="s">
        <v>72</v>
      </c>
      <c r="F159" t="s">
        <v>207</v>
      </c>
      <c r="G159" t="s">
        <v>18</v>
      </c>
      <c r="H159" t="s">
        <v>19</v>
      </c>
      <c r="I159" s="3">
        <v>136648</v>
      </c>
      <c r="J159">
        <v>8</v>
      </c>
      <c r="K159" s="5">
        <v>0.05</v>
      </c>
      <c r="L159" s="3">
        <v>32482.86</v>
      </c>
      <c r="M159" t="s">
        <v>40</v>
      </c>
      <c r="N159">
        <f t="shared" si="4"/>
        <v>2025</v>
      </c>
      <c r="O159" t="str">
        <f t="shared" si="5"/>
        <v>April</v>
      </c>
    </row>
    <row r="160" spans="1:15" x14ac:dyDescent="0.2">
      <c r="A160" t="s">
        <v>269</v>
      </c>
      <c r="B160" s="7">
        <v>45873</v>
      </c>
      <c r="C160" t="s">
        <v>76</v>
      </c>
      <c r="D160" t="s">
        <v>23</v>
      </c>
      <c r="E160" t="s">
        <v>79</v>
      </c>
      <c r="F160" t="s">
        <v>93</v>
      </c>
      <c r="G160" t="s">
        <v>33</v>
      </c>
      <c r="H160" t="s">
        <v>109</v>
      </c>
      <c r="I160" s="3">
        <v>217323</v>
      </c>
      <c r="J160">
        <v>5</v>
      </c>
      <c r="K160" s="5">
        <v>0.1</v>
      </c>
      <c r="L160" s="3">
        <v>46323.17</v>
      </c>
      <c r="M160" t="s">
        <v>40</v>
      </c>
      <c r="N160">
        <f t="shared" si="4"/>
        <v>2025</v>
      </c>
      <c r="O160" t="str">
        <f t="shared" si="5"/>
        <v>August</v>
      </c>
    </row>
    <row r="161" spans="1:15" x14ac:dyDescent="0.2">
      <c r="A161" t="s">
        <v>270</v>
      </c>
      <c r="B161" s="7">
        <v>45546</v>
      </c>
      <c r="C161" t="s">
        <v>14</v>
      </c>
      <c r="D161" t="s">
        <v>15</v>
      </c>
      <c r="E161" t="s">
        <v>61</v>
      </c>
      <c r="F161" t="s">
        <v>111</v>
      </c>
      <c r="G161" t="s">
        <v>58</v>
      </c>
      <c r="H161" t="s">
        <v>84</v>
      </c>
      <c r="I161" s="3">
        <v>5692.4</v>
      </c>
      <c r="J161">
        <v>7</v>
      </c>
      <c r="K161" s="5">
        <v>0.05</v>
      </c>
      <c r="L161" s="3">
        <v>927.81</v>
      </c>
      <c r="M161" t="s">
        <v>27</v>
      </c>
      <c r="N161">
        <f t="shared" si="4"/>
        <v>2024</v>
      </c>
      <c r="O161" t="str">
        <f t="shared" si="5"/>
        <v>September</v>
      </c>
    </row>
    <row r="162" spans="1:15" x14ac:dyDescent="0.2">
      <c r="A162" t="s">
        <v>271</v>
      </c>
      <c r="B162" s="7">
        <v>45355</v>
      </c>
      <c r="C162" t="s">
        <v>37</v>
      </c>
      <c r="D162" t="s">
        <v>30</v>
      </c>
      <c r="E162" t="s">
        <v>31</v>
      </c>
      <c r="F162" t="s">
        <v>97</v>
      </c>
      <c r="G162" t="s">
        <v>58</v>
      </c>
      <c r="H162" t="s">
        <v>84</v>
      </c>
      <c r="I162" s="3">
        <v>5283</v>
      </c>
      <c r="J162">
        <v>5</v>
      </c>
      <c r="K162" s="5">
        <v>0.1</v>
      </c>
      <c r="L162" s="3">
        <v>1022.54</v>
      </c>
      <c r="M162" t="s">
        <v>49</v>
      </c>
      <c r="N162">
        <f t="shared" si="4"/>
        <v>2024</v>
      </c>
      <c r="O162" t="str">
        <f t="shared" si="5"/>
        <v>March</v>
      </c>
    </row>
    <row r="163" spans="1:15" x14ac:dyDescent="0.2">
      <c r="A163" t="s">
        <v>272</v>
      </c>
      <c r="B163" s="7">
        <v>45428</v>
      </c>
      <c r="C163" t="s">
        <v>29</v>
      </c>
      <c r="D163" t="s">
        <v>30</v>
      </c>
      <c r="E163" t="s">
        <v>31</v>
      </c>
      <c r="F163" t="s">
        <v>188</v>
      </c>
      <c r="G163" t="s">
        <v>58</v>
      </c>
      <c r="H163" t="s">
        <v>84</v>
      </c>
      <c r="I163" s="3">
        <v>16747.2</v>
      </c>
      <c r="J163">
        <v>2</v>
      </c>
      <c r="K163" s="5">
        <v>0.2</v>
      </c>
      <c r="L163" s="3">
        <v>1242.1400000000001</v>
      </c>
      <c r="M163" t="s">
        <v>40</v>
      </c>
      <c r="N163">
        <f t="shared" si="4"/>
        <v>2024</v>
      </c>
      <c r="O163" t="str">
        <f t="shared" si="5"/>
        <v>May</v>
      </c>
    </row>
    <row r="164" spans="1:15" x14ac:dyDescent="0.2">
      <c r="A164" t="s">
        <v>273</v>
      </c>
      <c r="B164" s="7">
        <v>45375</v>
      </c>
      <c r="C164" t="s">
        <v>51</v>
      </c>
      <c r="D164" t="s">
        <v>30</v>
      </c>
      <c r="E164" t="s">
        <v>72</v>
      </c>
      <c r="F164" t="s">
        <v>73</v>
      </c>
      <c r="G164" t="s">
        <v>42</v>
      </c>
      <c r="H164" t="s">
        <v>43</v>
      </c>
      <c r="I164" s="3">
        <v>50918.400000000001</v>
      </c>
      <c r="J164">
        <v>8</v>
      </c>
      <c r="K164" s="5">
        <v>0.2</v>
      </c>
      <c r="L164" s="3">
        <v>10419.280000000001</v>
      </c>
      <c r="M164" t="s">
        <v>49</v>
      </c>
      <c r="N164">
        <f t="shared" si="4"/>
        <v>2024</v>
      </c>
      <c r="O164" t="str">
        <f t="shared" si="5"/>
        <v>March</v>
      </c>
    </row>
    <row r="165" spans="1:15" x14ac:dyDescent="0.2">
      <c r="A165" t="s">
        <v>274</v>
      </c>
      <c r="B165" s="7">
        <v>45744</v>
      </c>
      <c r="C165" t="s">
        <v>37</v>
      </c>
      <c r="D165" t="s">
        <v>15</v>
      </c>
      <c r="E165" t="s">
        <v>65</v>
      </c>
      <c r="F165" t="s">
        <v>147</v>
      </c>
      <c r="G165" t="s">
        <v>18</v>
      </c>
      <c r="H165" t="s">
        <v>70</v>
      </c>
      <c r="I165" s="3">
        <v>2782.8</v>
      </c>
      <c r="J165">
        <v>4</v>
      </c>
      <c r="K165" s="5">
        <v>0.1</v>
      </c>
      <c r="L165" s="3">
        <v>628.63</v>
      </c>
      <c r="M165" t="s">
        <v>40</v>
      </c>
      <c r="N165">
        <f t="shared" si="4"/>
        <v>2025</v>
      </c>
      <c r="O165" t="str">
        <f t="shared" si="5"/>
        <v>March</v>
      </c>
    </row>
    <row r="166" spans="1:15" x14ac:dyDescent="0.2">
      <c r="A166" t="s">
        <v>275</v>
      </c>
      <c r="B166" s="7">
        <v>45759</v>
      </c>
      <c r="C166" t="s">
        <v>90</v>
      </c>
      <c r="D166" t="s">
        <v>15</v>
      </c>
      <c r="E166" t="s">
        <v>56</v>
      </c>
      <c r="F166" t="s">
        <v>100</v>
      </c>
      <c r="G166" t="s">
        <v>58</v>
      </c>
      <c r="H166" t="s">
        <v>95</v>
      </c>
      <c r="I166" s="3">
        <v>14873.2</v>
      </c>
      <c r="J166">
        <v>8</v>
      </c>
      <c r="K166" s="5">
        <v>0.05</v>
      </c>
      <c r="L166" s="3">
        <v>2530.67</v>
      </c>
      <c r="M166" t="s">
        <v>20</v>
      </c>
      <c r="N166">
        <f t="shared" si="4"/>
        <v>2025</v>
      </c>
      <c r="O166" t="str">
        <f t="shared" si="5"/>
        <v>April</v>
      </c>
    </row>
    <row r="167" spans="1:15" x14ac:dyDescent="0.2">
      <c r="A167" t="s">
        <v>276</v>
      </c>
      <c r="B167" s="7">
        <v>45725</v>
      </c>
      <c r="C167" t="s">
        <v>45</v>
      </c>
      <c r="D167" t="s">
        <v>15</v>
      </c>
      <c r="E167" t="s">
        <v>61</v>
      </c>
      <c r="F167" t="s">
        <v>62</v>
      </c>
      <c r="G167" t="s">
        <v>42</v>
      </c>
      <c r="H167" t="s">
        <v>102</v>
      </c>
      <c r="I167" s="3">
        <v>3968</v>
      </c>
      <c r="J167">
        <v>5</v>
      </c>
      <c r="K167" s="5">
        <v>0.2</v>
      </c>
      <c r="L167" s="3">
        <v>177</v>
      </c>
      <c r="M167" t="s">
        <v>20</v>
      </c>
      <c r="N167">
        <f t="shared" si="4"/>
        <v>2025</v>
      </c>
      <c r="O167" t="str">
        <f t="shared" si="5"/>
        <v>March</v>
      </c>
    </row>
    <row r="168" spans="1:15" x14ac:dyDescent="0.2">
      <c r="A168" t="s">
        <v>277</v>
      </c>
      <c r="B168" s="7">
        <v>45683</v>
      </c>
      <c r="C168" t="s">
        <v>29</v>
      </c>
      <c r="D168" t="s">
        <v>15</v>
      </c>
      <c r="E168" t="s">
        <v>16</v>
      </c>
      <c r="F168" t="s">
        <v>17</v>
      </c>
      <c r="G168" t="s">
        <v>18</v>
      </c>
      <c r="H168" t="s">
        <v>63</v>
      </c>
      <c r="I168" s="3">
        <v>2779.5</v>
      </c>
      <c r="J168">
        <v>5</v>
      </c>
      <c r="K168" s="5">
        <v>0.15</v>
      </c>
      <c r="L168" s="3">
        <v>326.29000000000002</v>
      </c>
      <c r="M168" t="s">
        <v>49</v>
      </c>
      <c r="N168">
        <f t="shared" si="4"/>
        <v>2025</v>
      </c>
      <c r="O168" t="str">
        <f t="shared" si="5"/>
        <v>January</v>
      </c>
    </row>
    <row r="169" spans="1:15" x14ac:dyDescent="0.2">
      <c r="A169" t="s">
        <v>278</v>
      </c>
      <c r="B169" s="7">
        <v>45520</v>
      </c>
      <c r="C169" t="s">
        <v>14</v>
      </c>
      <c r="D169" t="s">
        <v>30</v>
      </c>
      <c r="E169" t="s">
        <v>52</v>
      </c>
      <c r="F169" t="s">
        <v>53</v>
      </c>
      <c r="G169" t="s">
        <v>33</v>
      </c>
      <c r="H169" t="s">
        <v>34</v>
      </c>
      <c r="I169" s="3">
        <v>38985.15</v>
      </c>
      <c r="J169">
        <v>3</v>
      </c>
      <c r="K169" s="5">
        <v>0.05</v>
      </c>
      <c r="L169" s="3">
        <v>8306.6299999999992</v>
      </c>
      <c r="M169" t="s">
        <v>20</v>
      </c>
      <c r="N169">
        <f t="shared" si="4"/>
        <v>2024</v>
      </c>
      <c r="O169" t="str">
        <f t="shared" si="5"/>
        <v>August</v>
      </c>
    </row>
    <row r="170" spans="1:15" x14ac:dyDescent="0.2">
      <c r="A170" t="s">
        <v>279</v>
      </c>
      <c r="B170" s="7">
        <v>45407</v>
      </c>
      <c r="C170" t="s">
        <v>14</v>
      </c>
      <c r="D170" t="s">
        <v>30</v>
      </c>
      <c r="E170" t="s">
        <v>122</v>
      </c>
      <c r="F170" t="s">
        <v>131</v>
      </c>
      <c r="G170" t="s">
        <v>58</v>
      </c>
      <c r="H170" t="s">
        <v>59</v>
      </c>
      <c r="I170" s="3">
        <v>43711.199999999997</v>
      </c>
      <c r="J170">
        <v>4</v>
      </c>
      <c r="K170" s="5">
        <v>0.1</v>
      </c>
      <c r="L170" s="3">
        <v>4051.86</v>
      </c>
      <c r="M170" t="s">
        <v>49</v>
      </c>
      <c r="N170">
        <f t="shared" si="4"/>
        <v>2024</v>
      </c>
      <c r="O170" t="str">
        <f t="shared" si="5"/>
        <v>April</v>
      </c>
    </row>
    <row r="171" spans="1:15" x14ac:dyDescent="0.2">
      <c r="A171" t="s">
        <v>280</v>
      </c>
      <c r="B171" s="7">
        <v>45341</v>
      </c>
      <c r="C171" t="s">
        <v>76</v>
      </c>
      <c r="D171" t="s">
        <v>15</v>
      </c>
      <c r="E171" t="s">
        <v>16</v>
      </c>
      <c r="F171" t="s">
        <v>17</v>
      </c>
      <c r="G171" t="s">
        <v>33</v>
      </c>
      <c r="H171" t="s">
        <v>48</v>
      </c>
      <c r="I171" s="3">
        <v>3084.8</v>
      </c>
      <c r="J171">
        <v>2</v>
      </c>
      <c r="K171" s="5">
        <v>0.2</v>
      </c>
      <c r="L171" s="3">
        <v>507.16</v>
      </c>
      <c r="M171" t="s">
        <v>20</v>
      </c>
      <c r="N171">
        <f t="shared" si="4"/>
        <v>2024</v>
      </c>
      <c r="O171" t="str">
        <f t="shared" si="5"/>
        <v>February</v>
      </c>
    </row>
    <row r="172" spans="1:15" x14ac:dyDescent="0.2">
      <c r="A172" t="s">
        <v>281</v>
      </c>
      <c r="B172" s="7">
        <v>45904</v>
      </c>
      <c r="C172" t="s">
        <v>45</v>
      </c>
      <c r="D172" t="s">
        <v>30</v>
      </c>
      <c r="E172" t="s">
        <v>122</v>
      </c>
      <c r="F172" t="s">
        <v>131</v>
      </c>
      <c r="G172" t="s">
        <v>33</v>
      </c>
      <c r="H172" t="s">
        <v>48</v>
      </c>
      <c r="I172" s="3">
        <v>24667.200000000001</v>
      </c>
      <c r="J172">
        <v>3</v>
      </c>
      <c r="K172" s="5">
        <v>0.2</v>
      </c>
      <c r="L172" s="3">
        <v>2313.31</v>
      </c>
      <c r="M172" t="s">
        <v>40</v>
      </c>
      <c r="N172">
        <f t="shared" si="4"/>
        <v>2025</v>
      </c>
      <c r="O172" t="str">
        <f t="shared" si="5"/>
        <v>September</v>
      </c>
    </row>
    <row r="173" spans="1:15" x14ac:dyDescent="0.2">
      <c r="A173" t="s">
        <v>282</v>
      </c>
      <c r="B173" s="7">
        <v>45644</v>
      </c>
      <c r="C173" t="s">
        <v>22</v>
      </c>
      <c r="D173" t="s">
        <v>30</v>
      </c>
      <c r="E173" t="s">
        <v>31</v>
      </c>
      <c r="F173" t="s">
        <v>97</v>
      </c>
      <c r="G173" t="s">
        <v>33</v>
      </c>
      <c r="H173" t="s">
        <v>109</v>
      </c>
      <c r="I173" s="3">
        <v>26152</v>
      </c>
      <c r="J173">
        <v>5</v>
      </c>
      <c r="K173" s="5">
        <v>0.2</v>
      </c>
      <c r="L173" s="3">
        <v>3376.85</v>
      </c>
      <c r="M173" t="s">
        <v>35</v>
      </c>
      <c r="N173">
        <f t="shared" si="4"/>
        <v>2024</v>
      </c>
      <c r="O173" t="str">
        <f t="shared" si="5"/>
        <v>December</v>
      </c>
    </row>
    <row r="174" spans="1:15" x14ac:dyDescent="0.2">
      <c r="A174" t="s">
        <v>283</v>
      </c>
      <c r="B174" s="7">
        <v>46016</v>
      </c>
      <c r="C174" t="s">
        <v>55</v>
      </c>
      <c r="D174" t="s">
        <v>30</v>
      </c>
      <c r="E174" t="s">
        <v>122</v>
      </c>
      <c r="F174" t="s">
        <v>160</v>
      </c>
      <c r="G174" t="s">
        <v>58</v>
      </c>
      <c r="H174" t="s">
        <v>74</v>
      </c>
      <c r="I174" s="3">
        <v>108501.4</v>
      </c>
      <c r="J174">
        <v>7</v>
      </c>
      <c r="K174" s="5">
        <v>0.05</v>
      </c>
      <c r="L174" s="3">
        <v>13849.91</v>
      </c>
      <c r="M174" t="s">
        <v>49</v>
      </c>
      <c r="N174">
        <f t="shared" si="4"/>
        <v>2025</v>
      </c>
      <c r="O174" t="str">
        <f t="shared" si="5"/>
        <v>December</v>
      </c>
    </row>
    <row r="175" spans="1:15" x14ac:dyDescent="0.2">
      <c r="A175" t="s">
        <v>284</v>
      </c>
      <c r="B175" s="7">
        <v>45372</v>
      </c>
      <c r="C175" t="s">
        <v>29</v>
      </c>
      <c r="D175" t="s">
        <v>23</v>
      </c>
      <c r="E175" t="s">
        <v>172</v>
      </c>
      <c r="F175" t="s">
        <v>173</v>
      </c>
      <c r="G175" t="s">
        <v>58</v>
      </c>
      <c r="H175" t="s">
        <v>59</v>
      </c>
      <c r="I175" s="3">
        <v>75966.75</v>
      </c>
      <c r="J175">
        <v>3</v>
      </c>
      <c r="K175" s="5">
        <v>0.05</v>
      </c>
      <c r="L175" s="3">
        <v>10145.56</v>
      </c>
      <c r="M175" t="s">
        <v>27</v>
      </c>
      <c r="N175">
        <f t="shared" si="4"/>
        <v>2024</v>
      </c>
      <c r="O175" t="str">
        <f t="shared" si="5"/>
        <v>March</v>
      </c>
    </row>
    <row r="176" spans="1:15" x14ac:dyDescent="0.2">
      <c r="A176" t="s">
        <v>285</v>
      </c>
      <c r="B176" s="7">
        <v>45893</v>
      </c>
      <c r="C176" t="s">
        <v>51</v>
      </c>
      <c r="D176" t="s">
        <v>23</v>
      </c>
      <c r="E176" t="s">
        <v>172</v>
      </c>
      <c r="F176" t="s">
        <v>210</v>
      </c>
      <c r="G176" t="s">
        <v>33</v>
      </c>
      <c r="H176" t="s">
        <v>128</v>
      </c>
      <c r="I176" s="3">
        <v>301570.84999999998</v>
      </c>
      <c r="J176">
        <v>7</v>
      </c>
      <c r="K176" s="5">
        <v>0.05</v>
      </c>
      <c r="L176" s="3">
        <v>68887.87</v>
      </c>
      <c r="M176" t="s">
        <v>40</v>
      </c>
      <c r="N176">
        <f t="shared" si="4"/>
        <v>2025</v>
      </c>
      <c r="O176" t="str">
        <f t="shared" si="5"/>
        <v>August</v>
      </c>
    </row>
    <row r="177" spans="1:15" x14ac:dyDescent="0.2">
      <c r="A177" t="s">
        <v>286</v>
      </c>
      <c r="B177" s="7">
        <v>46004</v>
      </c>
      <c r="C177" t="s">
        <v>90</v>
      </c>
      <c r="D177" t="s">
        <v>30</v>
      </c>
      <c r="E177" t="s">
        <v>31</v>
      </c>
      <c r="F177" t="s">
        <v>32</v>
      </c>
      <c r="G177" t="s">
        <v>42</v>
      </c>
      <c r="H177" t="s">
        <v>119</v>
      </c>
      <c r="I177" s="3">
        <v>23888.400000000001</v>
      </c>
      <c r="J177">
        <v>4</v>
      </c>
      <c r="K177" s="5">
        <v>0.15</v>
      </c>
      <c r="L177" s="3">
        <v>5384.16</v>
      </c>
      <c r="M177" t="s">
        <v>40</v>
      </c>
      <c r="N177">
        <f t="shared" si="4"/>
        <v>2025</v>
      </c>
      <c r="O177" t="str">
        <f t="shared" si="5"/>
        <v>December</v>
      </c>
    </row>
    <row r="178" spans="1:15" x14ac:dyDescent="0.2">
      <c r="A178" t="s">
        <v>287</v>
      </c>
      <c r="B178" s="7">
        <v>45801</v>
      </c>
      <c r="C178" t="s">
        <v>29</v>
      </c>
      <c r="D178" t="s">
        <v>30</v>
      </c>
      <c r="E178" t="s">
        <v>31</v>
      </c>
      <c r="F178" t="s">
        <v>97</v>
      </c>
      <c r="G178" t="s">
        <v>42</v>
      </c>
      <c r="H178" t="s">
        <v>119</v>
      </c>
      <c r="I178" s="3">
        <v>90518.399999999994</v>
      </c>
      <c r="J178">
        <v>8</v>
      </c>
      <c r="K178" s="5">
        <v>0.1</v>
      </c>
      <c r="L178" s="3">
        <v>11489.4</v>
      </c>
      <c r="M178" t="s">
        <v>20</v>
      </c>
      <c r="N178">
        <f t="shared" si="4"/>
        <v>2025</v>
      </c>
      <c r="O178" t="str">
        <f t="shared" si="5"/>
        <v>May</v>
      </c>
    </row>
    <row r="179" spans="1:15" x14ac:dyDescent="0.2">
      <c r="A179" t="s">
        <v>288</v>
      </c>
      <c r="B179" s="7">
        <v>45308</v>
      </c>
      <c r="C179" t="s">
        <v>68</v>
      </c>
      <c r="D179" t="s">
        <v>15</v>
      </c>
      <c r="E179" t="s">
        <v>61</v>
      </c>
      <c r="F179" t="s">
        <v>62</v>
      </c>
      <c r="G179" t="s">
        <v>42</v>
      </c>
      <c r="H179" t="s">
        <v>98</v>
      </c>
      <c r="I179" s="3">
        <v>13702.8</v>
      </c>
      <c r="J179">
        <v>6</v>
      </c>
      <c r="K179" s="5">
        <v>0.05</v>
      </c>
      <c r="L179" s="3">
        <v>2956.39</v>
      </c>
      <c r="M179" t="s">
        <v>35</v>
      </c>
      <c r="N179">
        <f t="shared" si="4"/>
        <v>2024</v>
      </c>
      <c r="O179" t="str">
        <f t="shared" si="5"/>
        <v>January</v>
      </c>
    </row>
    <row r="180" spans="1:15" x14ac:dyDescent="0.2">
      <c r="A180" t="s">
        <v>289</v>
      </c>
      <c r="B180" s="7">
        <v>45803</v>
      </c>
      <c r="C180" t="s">
        <v>51</v>
      </c>
      <c r="D180" t="s">
        <v>15</v>
      </c>
      <c r="E180" t="s">
        <v>56</v>
      </c>
      <c r="F180" t="s">
        <v>88</v>
      </c>
      <c r="G180" t="s">
        <v>58</v>
      </c>
      <c r="H180" t="s">
        <v>84</v>
      </c>
      <c r="I180" s="3">
        <v>5296</v>
      </c>
      <c r="J180">
        <v>4</v>
      </c>
      <c r="K180" s="5">
        <v>0.2</v>
      </c>
      <c r="L180" s="3">
        <v>1041.58</v>
      </c>
      <c r="M180" t="s">
        <v>27</v>
      </c>
      <c r="N180">
        <f t="shared" si="4"/>
        <v>2025</v>
      </c>
      <c r="O180" t="str">
        <f t="shared" si="5"/>
        <v>May</v>
      </c>
    </row>
    <row r="181" spans="1:15" x14ac:dyDescent="0.2">
      <c r="A181" t="s">
        <v>290</v>
      </c>
      <c r="B181" s="7">
        <v>45847</v>
      </c>
      <c r="C181" t="s">
        <v>14</v>
      </c>
      <c r="D181" t="s">
        <v>30</v>
      </c>
      <c r="E181" t="s">
        <v>122</v>
      </c>
      <c r="F181" t="s">
        <v>131</v>
      </c>
      <c r="G181" t="s">
        <v>58</v>
      </c>
      <c r="H181" t="s">
        <v>59</v>
      </c>
      <c r="I181" s="3">
        <v>27468.6</v>
      </c>
      <c r="J181">
        <v>6</v>
      </c>
      <c r="K181" s="5">
        <v>0.15</v>
      </c>
      <c r="L181" s="3">
        <v>2178.52</v>
      </c>
      <c r="M181" t="s">
        <v>35</v>
      </c>
      <c r="N181">
        <f t="shared" si="4"/>
        <v>2025</v>
      </c>
      <c r="O181" t="str">
        <f t="shared" si="5"/>
        <v>July</v>
      </c>
    </row>
    <row r="182" spans="1:15" x14ac:dyDescent="0.2">
      <c r="A182" t="s">
        <v>291</v>
      </c>
      <c r="B182" s="7">
        <v>45809</v>
      </c>
      <c r="C182" t="s">
        <v>29</v>
      </c>
      <c r="D182" t="s">
        <v>23</v>
      </c>
      <c r="E182" t="s">
        <v>82</v>
      </c>
      <c r="F182" t="s">
        <v>83</v>
      </c>
      <c r="G182" t="s">
        <v>18</v>
      </c>
      <c r="H182" t="s">
        <v>70</v>
      </c>
      <c r="I182" s="3">
        <v>160788.45000000001</v>
      </c>
      <c r="J182">
        <v>3</v>
      </c>
      <c r="K182" s="5">
        <v>0.05</v>
      </c>
      <c r="L182" s="3">
        <v>11147.19</v>
      </c>
      <c r="M182" t="s">
        <v>27</v>
      </c>
      <c r="N182">
        <f t="shared" si="4"/>
        <v>2025</v>
      </c>
      <c r="O182" t="str">
        <f t="shared" si="5"/>
        <v>June</v>
      </c>
    </row>
    <row r="183" spans="1:15" x14ac:dyDescent="0.2">
      <c r="A183" t="s">
        <v>292</v>
      </c>
      <c r="B183" s="7">
        <v>45573</v>
      </c>
      <c r="C183" t="s">
        <v>51</v>
      </c>
      <c r="D183" t="s">
        <v>23</v>
      </c>
      <c r="E183" t="s">
        <v>172</v>
      </c>
      <c r="F183" t="s">
        <v>182</v>
      </c>
      <c r="G183" t="s">
        <v>58</v>
      </c>
      <c r="H183" t="s">
        <v>59</v>
      </c>
      <c r="I183" s="3">
        <v>36079</v>
      </c>
      <c r="J183">
        <v>1</v>
      </c>
      <c r="K183" s="5">
        <v>0</v>
      </c>
      <c r="L183" s="3">
        <v>6706.49</v>
      </c>
      <c r="M183" t="s">
        <v>27</v>
      </c>
      <c r="N183">
        <f t="shared" si="4"/>
        <v>2024</v>
      </c>
      <c r="O183" t="str">
        <f t="shared" si="5"/>
        <v>October</v>
      </c>
    </row>
    <row r="184" spans="1:15" x14ac:dyDescent="0.2">
      <c r="A184" t="s">
        <v>293</v>
      </c>
      <c r="B184" s="7">
        <v>45550</v>
      </c>
      <c r="C184" t="s">
        <v>45</v>
      </c>
      <c r="D184" t="s">
        <v>23</v>
      </c>
      <c r="E184" t="s">
        <v>172</v>
      </c>
      <c r="F184" t="s">
        <v>182</v>
      </c>
      <c r="G184" t="s">
        <v>58</v>
      </c>
      <c r="H184" t="s">
        <v>74</v>
      </c>
      <c r="I184" s="3">
        <v>67575.399999999994</v>
      </c>
      <c r="J184">
        <v>2</v>
      </c>
      <c r="K184" s="5">
        <v>0.05</v>
      </c>
      <c r="L184" s="3">
        <v>12937.73</v>
      </c>
      <c r="M184" t="s">
        <v>27</v>
      </c>
      <c r="N184">
        <f t="shared" si="4"/>
        <v>2024</v>
      </c>
      <c r="O184" t="str">
        <f t="shared" si="5"/>
        <v>September</v>
      </c>
    </row>
    <row r="185" spans="1:15" x14ac:dyDescent="0.2">
      <c r="A185" t="s">
        <v>294</v>
      </c>
      <c r="B185" s="7">
        <v>45957</v>
      </c>
      <c r="C185" t="s">
        <v>14</v>
      </c>
      <c r="D185" t="s">
        <v>30</v>
      </c>
      <c r="E185" t="s">
        <v>52</v>
      </c>
      <c r="F185" t="s">
        <v>127</v>
      </c>
      <c r="G185" t="s">
        <v>42</v>
      </c>
      <c r="H185" t="s">
        <v>43</v>
      </c>
      <c r="I185" s="3">
        <v>32800</v>
      </c>
      <c r="J185">
        <v>4</v>
      </c>
      <c r="K185" s="5">
        <v>0</v>
      </c>
      <c r="L185" s="3">
        <v>6912.51</v>
      </c>
      <c r="M185" t="s">
        <v>20</v>
      </c>
      <c r="N185">
        <f t="shared" si="4"/>
        <v>2025</v>
      </c>
      <c r="O185" t="str">
        <f t="shared" si="5"/>
        <v>October</v>
      </c>
    </row>
    <row r="186" spans="1:15" x14ac:dyDescent="0.2">
      <c r="A186" t="s">
        <v>295</v>
      </c>
      <c r="B186" s="7">
        <v>45952</v>
      </c>
      <c r="C186" t="s">
        <v>45</v>
      </c>
      <c r="D186" t="s">
        <v>30</v>
      </c>
      <c r="E186" t="s">
        <v>122</v>
      </c>
      <c r="F186" t="s">
        <v>131</v>
      </c>
      <c r="G186" t="s">
        <v>58</v>
      </c>
      <c r="H186" t="s">
        <v>59</v>
      </c>
      <c r="I186" s="3">
        <v>5452.75</v>
      </c>
      <c r="J186">
        <v>1</v>
      </c>
      <c r="K186" s="5">
        <v>0.15</v>
      </c>
      <c r="L186" s="3">
        <v>1153.6199999999999</v>
      </c>
      <c r="M186" t="s">
        <v>35</v>
      </c>
      <c r="N186">
        <f t="shared" si="4"/>
        <v>2025</v>
      </c>
      <c r="O186" t="str">
        <f t="shared" si="5"/>
        <v>October</v>
      </c>
    </row>
    <row r="187" spans="1:15" x14ac:dyDescent="0.2">
      <c r="A187" t="s">
        <v>296</v>
      </c>
      <c r="B187" s="7">
        <v>45869</v>
      </c>
      <c r="C187" t="s">
        <v>14</v>
      </c>
      <c r="D187" t="s">
        <v>23</v>
      </c>
      <c r="E187" t="s">
        <v>172</v>
      </c>
      <c r="F187" t="s">
        <v>182</v>
      </c>
      <c r="G187" t="s">
        <v>18</v>
      </c>
      <c r="H187" t="s">
        <v>26</v>
      </c>
      <c r="I187" s="3">
        <v>136555.20000000001</v>
      </c>
      <c r="J187">
        <v>8</v>
      </c>
      <c r="K187" s="5">
        <v>0.1</v>
      </c>
      <c r="L187" s="3">
        <v>32071.67</v>
      </c>
      <c r="M187" t="s">
        <v>40</v>
      </c>
      <c r="N187">
        <f t="shared" si="4"/>
        <v>2025</v>
      </c>
      <c r="O187" t="str">
        <f t="shared" si="5"/>
        <v>July</v>
      </c>
    </row>
    <row r="188" spans="1:15" x14ac:dyDescent="0.2">
      <c r="A188" t="s">
        <v>297</v>
      </c>
      <c r="B188" s="7">
        <v>45872</v>
      </c>
      <c r="C188" t="s">
        <v>22</v>
      </c>
      <c r="D188" t="s">
        <v>30</v>
      </c>
      <c r="E188" t="s">
        <v>52</v>
      </c>
      <c r="F188" t="s">
        <v>118</v>
      </c>
      <c r="G188" t="s">
        <v>33</v>
      </c>
      <c r="H188" t="s">
        <v>48</v>
      </c>
      <c r="I188" s="3">
        <v>22084.65</v>
      </c>
      <c r="J188">
        <v>7</v>
      </c>
      <c r="K188" s="5">
        <v>0.05</v>
      </c>
      <c r="L188" s="3">
        <v>3981.68</v>
      </c>
      <c r="M188" t="s">
        <v>35</v>
      </c>
      <c r="N188">
        <f t="shared" si="4"/>
        <v>2025</v>
      </c>
      <c r="O188" t="str">
        <f t="shared" si="5"/>
        <v>August</v>
      </c>
    </row>
    <row r="189" spans="1:15" x14ac:dyDescent="0.2">
      <c r="A189" t="s">
        <v>298</v>
      </c>
      <c r="B189" s="7">
        <v>45640</v>
      </c>
      <c r="C189" t="s">
        <v>90</v>
      </c>
      <c r="D189" t="s">
        <v>30</v>
      </c>
      <c r="E189" t="s">
        <v>122</v>
      </c>
      <c r="F189" t="s">
        <v>123</v>
      </c>
      <c r="G189" t="s">
        <v>33</v>
      </c>
      <c r="H189" t="s">
        <v>128</v>
      </c>
      <c r="I189" s="3">
        <v>22800</v>
      </c>
      <c r="J189">
        <v>6</v>
      </c>
      <c r="K189" s="5">
        <v>0.05</v>
      </c>
      <c r="L189" s="3">
        <v>5363.36</v>
      </c>
      <c r="M189" t="s">
        <v>35</v>
      </c>
      <c r="N189">
        <f t="shared" si="4"/>
        <v>2024</v>
      </c>
      <c r="O189" t="str">
        <f t="shared" si="5"/>
        <v>December</v>
      </c>
    </row>
    <row r="190" spans="1:15" x14ac:dyDescent="0.2">
      <c r="A190" t="s">
        <v>299</v>
      </c>
      <c r="B190" s="7">
        <v>45676</v>
      </c>
      <c r="C190" t="s">
        <v>22</v>
      </c>
      <c r="D190" t="s">
        <v>15</v>
      </c>
      <c r="E190" t="s">
        <v>61</v>
      </c>
      <c r="F190" t="s">
        <v>144</v>
      </c>
      <c r="G190" t="s">
        <v>42</v>
      </c>
      <c r="H190" t="s">
        <v>102</v>
      </c>
      <c r="I190" s="3">
        <v>10017.75</v>
      </c>
      <c r="J190">
        <v>5</v>
      </c>
      <c r="K190" s="5">
        <v>0.05</v>
      </c>
      <c r="L190" s="3">
        <v>1389.08</v>
      </c>
      <c r="M190" t="s">
        <v>40</v>
      </c>
      <c r="N190">
        <f t="shared" si="4"/>
        <v>2025</v>
      </c>
      <c r="O190" t="str">
        <f t="shared" si="5"/>
        <v>January</v>
      </c>
    </row>
    <row r="191" spans="1:15" x14ac:dyDescent="0.2">
      <c r="A191" t="s">
        <v>300</v>
      </c>
      <c r="B191" s="7">
        <v>45681</v>
      </c>
      <c r="C191" t="s">
        <v>55</v>
      </c>
      <c r="D191" t="s">
        <v>15</v>
      </c>
      <c r="E191" t="s">
        <v>56</v>
      </c>
      <c r="F191" t="s">
        <v>100</v>
      </c>
      <c r="G191" t="s">
        <v>58</v>
      </c>
      <c r="H191" t="s">
        <v>95</v>
      </c>
      <c r="I191" s="3">
        <v>2005</v>
      </c>
      <c r="J191">
        <v>5</v>
      </c>
      <c r="K191" s="5">
        <v>0</v>
      </c>
      <c r="L191" s="3">
        <v>267.86</v>
      </c>
      <c r="M191" t="s">
        <v>49</v>
      </c>
      <c r="N191">
        <f t="shared" si="4"/>
        <v>2025</v>
      </c>
      <c r="O191" t="str">
        <f t="shared" si="5"/>
        <v>January</v>
      </c>
    </row>
    <row r="192" spans="1:15" x14ac:dyDescent="0.2">
      <c r="A192" t="s">
        <v>301</v>
      </c>
      <c r="B192" s="7">
        <v>45483</v>
      </c>
      <c r="C192" t="s">
        <v>22</v>
      </c>
      <c r="D192" t="s">
        <v>30</v>
      </c>
      <c r="E192" t="s">
        <v>104</v>
      </c>
      <c r="F192" t="s">
        <v>105</v>
      </c>
      <c r="G192" t="s">
        <v>18</v>
      </c>
      <c r="H192" t="s">
        <v>70</v>
      </c>
      <c r="I192" s="3">
        <v>62965</v>
      </c>
      <c r="J192">
        <v>5</v>
      </c>
      <c r="K192" s="5">
        <v>0</v>
      </c>
      <c r="L192" s="3">
        <v>6705.86</v>
      </c>
      <c r="M192" t="s">
        <v>49</v>
      </c>
      <c r="N192">
        <f t="shared" si="4"/>
        <v>2024</v>
      </c>
      <c r="O192" t="str">
        <f t="shared" si="5"/>
        <v>July</v>
      </c>
    </row>
    <row r="193" spans="1:15" x14ac:dyDescent="0.2">
      <c r="A193" t="s">
        <v>302</v>
      </c>
      <c r="B193" s="7">
        <v>45715</v>
      </c>
      <c r="C193" t="s">
        <v>22</v>
      </c>
      <c r="D193" t="s">
        <v>15</v>
      </c>
      <c r="E193" t="s">
        <v>56</v>
      </c>
      <c r="F193" t="s">
        <v>88</v>
      </c>
      <c r="G193" t="s">
        <v>58</v>
      </c>
      <c r="H193" t="s">
        <v>95</v>
      </c>
      <c r="I193" s="3">
        <v>2427.6</v>
      </c>
      <c r="J193">
        <v>2</v>
      </c>
      <c r="K193" s="5">
        <v>0.15</v>
      </c>
      <c r="L193" s="3">
        <v>109.16</v>
      </c>
      <c r="M193" t="s">
        <v>20</v>
      </c>
      <c r="N193">
        <f t="shared" si="4"/>
        <v>2025</v>
      </c>
      <c r="O193" t="str">
        <f t="shared" si="5"/>
        <v>February</v>
      </c>
    </row>
    <row r="194" spans="1:15" x14ac:dyDescent="0.2">
      <c r="A194" t="s">
        <v>303</v>
      </c>
      <c r="B194" s="7">
        <v>45441</v>
      </c>
      <c r="C194" t="s">
        <v>37</v>
      </c>
      <c r="D194" t="s">
        <v>15</v>
      </c>
      <c r="E194" t="s">
        <v>56</v>
      </c>
      <c r="F194" t="s">
        <v>100</v>
      </c>
      <c r="G194" t="s">
        <v>33</v>
      </c>
      <c r="H194" t="s">
        <v>48</v>
      </c>
      <c r="I194" s="3">
        <v>7566.3</v>
      </c>
      <c r="J194">
        <v>7</v>
      </c>
      <c r="K194" s="5">
        <v>0.1</v>
      </c>
      <c r="L194" s="3">
        <v>822.32</v>
      </c>
      <c r="M194" t="s">
        <v>40</v>
      </c>
      <c r="N194">
        <f t="shared" ref="N194:N257" si="6">YEAR(B194)</f>
        <v>2024</v>
      </c>
      <c r="O194" t="str">
        <f t="shared" ref="O194:O257" si="7">TEXT(B194,"mmmm")</f>
        <v>May</v>
      </c>
    </row>
    <row r="195" spans="1:15" x14ac:dyDescent="0.2">
      <c r="A195" t="s">
        <v>304</v>
      </c>
      <c r="B195" s="7">
        <v>45492</v>
      </c>
      <c r="C195" t="s">
        <v>29</v>
      </c>
      <c r="D195" t="s">
        <v>30</v>
      </c>
      <c r="E195" t="s">
        <v>104</v>
      </c>
      <c r="F195" t="s">
        <v>137</v>
      </c>
      <c r="G195" t="s">
        <v>58</v>
      </c>
      <c r="H195" t="s">
        <v>84</v>
      </c>
      <c r="I195" s="3">
        <v>15379.9</v>
      </c>
      <c r="J195">
        <v>2</v>
      </c>
      <c r="K195" s="5">
        <v>0.15</v>
      </c>
      <c r="L195" s="3">
        <v>2480.1799999999998</v>
      </c>
      <c r="M195" t="s">
        <v>20</v>
      </c>
      <c r="N195">
        <f t="shared" si="6"/>
        <v>2024</v>
      </c>
      <c r="O195" t="str">
        <f t="shared" si="7"/>
        <v>July</v>
      </c>
    </row>
    <row r="196" spans="1:15" x14ac:dyDescent="0.2">
      <c r="A196" t="s">
        <v>305</v>
      </c>
      <c r="B196" s="7">
        <v>45958</v>
      </c>
      <c r="C196" t="s">
        <v>90</v>
      </c>
      <c r="D196" t="s">
        <v>23</v>
      </c>
      <c r="E196" t="s">
        <v>79</v>
      </c>
      <c r="F196" t="s">
        <v>80</v>
      </c>
      <c r="G196" t="s">
        <v>18</v>
      </c>
      <c r="H196" t="s">
        <v>63</v>
      </c>
      <c r="I196" s="3">
        <v>339538.5</v>
      </c>
      <c r="J196">
        <v>7</v>
      </c>
      <c r="K196" s="5">
        <v>0.1</v>
      </c>
      <c r="L196" s="3">
        <v>47916.77</v>
      </c>
      <c r="M196" t="s">
        <v>40</v>
      </c>
      <c r="N196">
        <f t="shared" si="6"/>
        <v>2025</v>
      </c>
      <c r="O196" t="str">
        <f t="shared" si="7"/>
        <v>October</v>
      </c>
    </row>
    <row r="197" spans="1:15" x14ac:dyDescent="0.2">
      <c r="A197" t="s">
        <v>306</v>
      </c>
      <c r="B197" s="7">
        <v>45940</v>
      </c>
      <c r="C197" t="s">
        <v>29</v>
      </c>
      <c r="D197" t="s">
        <v>30</v>
      </c>
      <c r="E197" t="s">
        <v>104</v>
      </c>
      <c r="F197" t="s">
        <v>137</v>
      </c>
      <c r="G197" t="s">
        <v>33</v>
      </c>
      <c r="H197" t="s">
        <v>109</v>
      </c>
      <c r="I197" s="3">
        <v>37392.300000000003</v>
      </c>
      <c r="J197">
        <v>3</v>
      </c>
      <c r="K197" s="5">
        <v>0.1</v>
      </c>
      <c r="L197" s="3">
        <v>7552.31</v>
      </c>
      <c r="M197" t="s">
        <v>35</v>
      </c>
      <c r="N197">
        <f t="shared" si="6"/>
        <v>2025</v>
      </c>
      <c r="O197" t="str">
        <f t="shared" si="7"/>
        <v>October</v>
      </c>
    </row>
    <row r="198" spans="1:15" x14ac:dyDescent="0.2">
      <c r="A198" t="s">
        <v>307</v>
      </c>
      <c r="B198" s="7">
        <v>45855</v>
      </c>
      <c r="C198" t="s">
        <v>14</v>
      </c>
      <c r="D198" t="s">
        <v>23</v>
      </c>
      <c r="E198" t="s">
        <v>79</v>
      </c>
      <c r="F198" t="s">
        <v>80</v>
      </c>
      <c r="G198" t="s">
        <v>58</v>
      </c>
      <c r="H198" t="s">
        <v>84</v>
      </c>
      <c r="I198" s="3">
        <v>49379.1</v>
      </c>
      <c r="J198">
        <v>6</v>
      </c>
      <c r="K198" s="5">
        <v>0.05</v>
      </c>
      <c r="L198" s="3">
        <v>10065.56</v>
      </c>
      <c r="M198" t="s">
        <v>49</v>
      </c>
      <c r="N198">
        <f t="shared" si="6"/>
        <v>2025</v>
      </c>
      <c r="O198" t="str">
        <f t="shared" si="7"/>
        <v>July</v>
      </c>
    </row>
    <row r="199" spans="1:15" x14ac:dyDescent="0.2">
      <c r="A199" t="s">
        <v>308</v>
      </c>
      <c r="B199" s="7">
        <v>45539</v>
      </c>
      <c r="C199" t="s">
        <v>68</v>
      </c>
      <c r="D199" t="s">
        <v>15</v>
      </c>
      <c r="E199" t="s">
        <v>46</v>
      </c>
      <c r="F199" t="s">
        <v>116</v>
      </c>
      <c r="G199" t="s">
        <v>58</v>
      </c>
      <c r="H199" t="s">
        <v>84</v>
      </c>
      <c r="I199" s="3">
        <v>4075.5</v>
      </c>
      <c r="J199">
        <v>2</v>
      </c>
      <c r="K199" s="5">
        <v>0.05</v>
      </c>
      <c r="L199" s="3">
        <v>791.33</v>
      </c>
      <c r="M199" t="s">
        <v>40</v>
      </c>
      <c r="N199">
        <f t="shared" si="6"/>
        <v>2024</v>
      </c>
      <c r="O199" t="str">
        <f t="shared" si="7"/>
        <v>September</v>
      </c>
    </row>
    <row r="200" spans="1:15" x14ac:dyDescent="0.2">
      <c r="A200" t="s">
        <v>309</v>
      </c>
      <c r="B200" s="7">
        <v>46000</v>
      </c>
      <c r="C200" t="s">
        <v>22</v>
      </c>
      <c r="D200" t="s">
        <v>15</v>
      </c>
      <c r="E200" t="s">
        <v>61</v>
      </c>
      <c r="F200" t="s">
        <v>62</v>
      </c>
      <c r="G200" t="s">
        <v>58</v>
      </c>
      <c r="H200" t="s">
        <v>95</v>
      </c>
      <c r="I200" s="3">
        <v>14643.2</v>
      </c>
      <c r="J200">
        <v>8</v>
      </c>
      <c r="K200" s="5">
        <v>0.2</v>
      </c>
      <c r="L200" s="3">
        <v>3143.88</v>
      </c>
      <c r="M200" t="s">
        <v>35</v>
      </c>
      <c r="N200">
        <f t="shared" si="6"/>
        <v>2025</v>
      </c>
      <c r="O200" t="str">
        <f t="shared" si="7"/>
        <v>December</v>
      </c>
    </row>
    <row r="201" spans="1:15" x14ac:dyDescent="0.2">
      <c r="A201" t="s">
        <v>310</v>
      </c>
      <c r="B201" s="7">
        <v>45631</v>
      </c>
      <c r="C201" t="s">
        <v>22</v>
      </c>
      <c r="D201" t="s">
        <v>23</v>
      </c>
      <c r="E201" t="s">
        <v>79</v>
      </c>
      <c r="F201" t="s">
        <v>107</v>
      </c>
      <c r="G201" t="s">
        <v>18</v>
      </c>
      <c r="H201" t="s">
        <v>70</v>
      </c>
      <c r="I201" s="3">
        <v>61715.1</v>
      </c>
      <c r="J201">
        <v>6</v>
      </c>
      <c r="K201" s="5">
        <v>0.15</v>
      </c>
      <c r="L201" s="3">
        <v>14556.26</v>
      </c>
      <c r="M201" t="s">
        <v>20</v>
      </c>
      <c r="N201">
        <f t="shared" si="6"/>
        <v>2024</v>
      </c>
      <c r="O201" t="str">
        <f t="shared" si="7"/>
        <v>December</v>
      </c>
    </row>
    <row r="202" spans="1:15" x14ac:dyDescent="0.2">
      <c r="A202" t="s">
        <v>311</v>
      </c>
      <c r="B202" s="7">
        <v>45894</v>
      </c>
      <c r="C202" t="s">
        <v>51</v>
      </c>
      <c r="D202" t="s">
        <v>23</v>
      </c>
      <c r="E202" t="s">
        <v>82</v>
      </c>
      <c r="F202" t="s">
        <v>240</v>
      </c>
      <c r="G202" t="s">
        <v>42</v>
      </c>
      <c r="H202" t="s">
        <v>98</v>
      </c>
      <c r="I202" s="3">
        <v>103407.6</v>
      </c>
      <c r="J202">
        <v>4</v>
      </c>
      <c r="K202" s="5">
        <v>0.15</v>
      </c>
      <c r="L202" s="3">
        <v>20368.03</v>
      </c>
      <c r="M202" t="s">
        <v>40</v>
      </c>
      <c r="N202">
        <f t="shared" si="6"/>
        <v>2025</v>
      </c>
      <c r="O202" t="str">
        <f t="shared" si="7"/>
        <v>August</v>
      </c>
    </row>
    <row r="203" spans="1:15" x14ac:dyDescent="0.2">
      <c r="A203" t="s">
        <v>312</v>
      </c>
      <c r="B203" s="7">
        <v>45643</v>
      </c>
      <c r="C203" t="s">
        <v>29</v>
      </c>
      <c r="D203" t="s">
        <v>30</v>
      </c>
      <c r="E203" t="s">
        <v>52</v>
      </c>
      <c r="F203" t="s">
        <v>127</v>
      </c>
      <c r="G203" t="s">
        <v>58</v>
      </c>
      <c r="H203" t="s">
        <v>95</v>
      </c>
      <c r="I203" s="3">
        <v>24026.45</v>
      </c>
      <c r="J203">
        <v>7</v>
      </c>
      <c r="K203" s="5">
        <v>0.05</v>
      </c>
      <c r="L203" s="3">
        <v>3295.61</v>
      </c>
      <c r="M203" t="s">
        <v>40</v>
      </c>
      <c r="N203">
        <f t="shared" si="6"/>
        <v>2024</v>
      </c>
      <c r="O203" t="str">
        <f t="shared" si="7"/>
        <v>December</v>
      </c>
    </row>
    <row r="204" spans="1:15" x14ac:dyDescent="0.2">
      <c r="A204" t="s">
        <v>313</v>
      </c>
      <c r="B204" s="7">
        <v>46019</v>
      </c>
      <c r="C204" t="s">
        <v>37</v>
      </c>
      <c r="D204" t="s">
        <v>15</v>
      </c>
      <c r="E204" t="s">
        <v>61</v>
      </c>
      <c r="F204" t="s">
        <v>111</v>
      </c>
      <c r="G204" t="s">
        <v>42</v>
      </c>
      <c r="H204" t="s">
        <v>43</v>
      </c>
      <c r="I204" s="3">
        <v>11248</v>
      </c>
      <c r="J204">
        <v>8</v>
      </c>
      <c r="K204" s="5">
        <v>0</v>
      </c>
      <c r="L204" s="3">
        <v>1575.31</v>
      </c>
      <c r="M204" t="s">
        <v>20</v>
      </c>
      <c r="N204">
        <f t="shared" si="6"/>
        <v>2025</v>
      </c>
      <c r="O204" t="str">
        <f t="shared" si="7"/>
        <v>December</v>
      </c>
    </row>
    <row r="205" spans="1:15" x14ac:dyDescent="0.2">
      <c r="A205" t="s">
        <v>314</v>
      </c>
      <c r="B205" s="7">
        <v>45765</v>
      </c>
      <c r="C205" t="s">
        <v>76</v>
      </c>
      <c r="D205" t="s">
        <v>30</v>
      </c>
      <c r="E205" t="s">
        <v>52</v>
      </c>
      <c r="F205" t="s">
        <v>118</v>
      </c>
      <c r="G205" t="s">
        <v>33</v>
      </c>
      <c r="H205" t="s">
        <v>48</v>
      </c>
      <c r="I205" s="3">
        <v>14512.8</v>
      </c>
      <c r="J205">
        <v>3</v>
      </c>
      <c r="K205" s="5">
        <v>0.2</v>
      </c>
      <c r="L205" s="3">
        <v>1672.95</v>
      </c>
      <c r="M205" t="s">
        <v>49</v>
      </c>
      <c r="N205">
        <f t="shared" si="6"/>
        <v>2025</v>
      </c>
      <c r="O205" t="str">
        <f t="shared" si="7"/>
        <v>April</v>
      </c>
    </row>
    <row r="206" spans="1:15" x14ac:dyDescent="0.2">
      <c r="A206" t="s">
        <v>315</v>
      </c>
      <c r="B206" s="7">
        <v>45296</v>
      </c>
      <c r="C206" t="s">
        <v>76</v>
      </c>
      <c r="D206" t="s">
        <v>15</v>
      </c>
      <c r="E206" t="s">
        <v>46</v>
      </c>
      <c r="F206" t="s">
        <v>47</v>
      </c>
      <c r="G206" t="s">
        <v>33</v>
      </c>
      <c r="H206" t="s">
        <v>109</v>
      </c>
      <c r="I206" s="3">
        <v>1552.8</v>
      </c>
      <c r="J206">
        <v>1</v>
      </c>
      <c r="K206" s="5">
        <v>0.2</v>
      </c>
      <c r="L206" s="3">
        <v>179.99</v>
      </c>
      <c r="M206" t="s">
        <v>40</v>
      </c>
      <c r="N206">
        <f t="shared" si="6"/>
        <v>2024</v>
      </c>
      <c r="O206" t="str">
        <f t="shared" si="7"/>
        <v>January</v>
      </c>
    </row>
    <row r="207" spans="1:15" x14ac:dyDescent="0.2">
      <c r="A207" t="s">
        <v>316</v>
      </c>
      <c r="B207" s="7">
        <v>45793</v>
      </c>
      <c r="C207" t="s">
        <v>51</v>
      </c>
      <c r="D207" t="s">
        <v>30</v>
      </c>
      <c r="E207" t="s">
        <v>52</v>
      </c>
      <c r="F207" t="s">
        <v>127</v>
      </c>
      <c r="G207" t="s">
        <v>18</v>
      </c>
      <c r="H207" t="s">
        <v>26</v>
      </c>
      <c r="I207" s="3">
        <v>85282.2</v>
      </c>
      <c r="J207">
        <v>6</v>
      </c>
      <c r="K207" s="5">
        <v>0.1</v>
      </c>
      <c r="L207" s="3">
        <v>16130.3</v>
      </c>
      <c r="M207" t="s">
        <v>27</v>
      </c>
      <c r="N207">
        <f t="shared" si="6"/>
        <v>2025</v>
      </c>
      <c r="O207" t="str">
        <f t="shared" si="7"/>
        <v>May</v>
      </c>
    </row>
    <row r="208" spans="1:15" x14ac:dyDescent="0.2">
      <c r="A208" t="s">
        <v>317</v>
      </c>
      <c r="B208" s="7">
        <v>45896</v>
      </c>
      <c r="C208" t="s">
        <v>37</v>
      </c>
      <c r="D208" t="s">
        <v>15</v>
      </c>
      <c r="E208" t="s">
        <v>61</v>
      </c>
      <c r="F208" t="s">
        <v>62</v>
      </c>
      <c r="G208" t="s">
        <v>58</v>
      </c>
      <c r="H208" t="s">
        <v>95</v>
      </c>
      <c r="I208" s="3">
        <v>4352.3999999999996</v>
      </c>
      <c r="J208">
        <v>6</v>
      </c>
      <c r="K208" s="5">
        <v>0.1</v>
      </c>
      <c r="L208" s="3">
        <v>1039.08</v>
      </c>
      <c r="M208" t="s">
        <v>40</v>
      </c>
      <c r="N208">
        <f t="shared" si="6"/>
        <v>2025</v>
      </c>
      <c r="O208" t="str">
        <f t="shared" si="7"/>
        <v>August</v>
      </c>
    </row>
    <row r="209" spans="1:15" x14ac:dyDescent="0.2">
      <c r="A209" t="s">
        <v>318</v>
      </c>
      <c r="B209" s="7">
        <v>45433</v>
      </c>
      <c r="C209" t="s">
        <v>90</v>
      </c>
      <c r="D209" t="s">
        <v>30</v>
      </c>
      <c r="E209" t="s">
        <v>52</v>
      </c>
      <c r="F209" t="s">
        <v>53</v>
      </c>
      <c r="G209" t="s">
        <v>33</v>
      </c>
      <c r="H209" t="s">
        <v>34</v>
      </c>
      <c r="I209" s="3">
        <v>13851.6</v>
      </c>
      <c r="J209">
        <v>3</v>
      </c>
      <c r="K209" s="5">
        <v>0.15</v>
      </c>
      <c r="L209" s="3">
        <v>1747.35</v>
      </c>
      <c r="M209" t="s">
        <v>49</v>
      </c>
      <c r="N209">
        <f t="shared" si="6"/>
        <v>2024</v>
      </c>
      <c r="O209" t="str">
        <f t="shared" si="7"/>
        <v>May</v>
      </c>
    </row>
    <row r="210" spans="1:15" x14ac:dyDescent="0.2">
      <c r="A210" t="s">
        <v>319</v>
      </c>
      <c r="B210" s="7">
        <v>45753</v>
      </c>
      <c r="C210" t="s">
        <v>90</v>
      </c>
      <c r="D210" t="s">
        <v>30</v>
      </c>
      <c r="E210" t="s">
        <v>31</v>
      </c>
      <c r="F210" t="s">
        <v>188</v>
      </c>
      <c r="G210" t="s">
        <v>58</v>
      </c>
      <c r="H210" t="s">
        <v>74</v>
      </c>
      <c r="I210" s="3">
        <v>29252.400000000001</v>
      </c>
      <c r="J210">
        <v>3</v>
      </c>
      <c r="K210" s="5">
        <v>0.05</v>
      </c>
      <c r="L210" s="3">
        <v>3814.98</v>
      </c>
      <c r="M210" t="s">
        <v>20</v>
      </c>
      <c r="N210">
        <f t="shared" si="6"/>
        <v>2025</v>
      </c>
      <c r="O210" t="str">
        <f t="shared" si="7"/>
        <v>April</v>
      </c>
    </row>
    <row r="211" spans="1:15" x14ac:dyDescent="0.2">
      <c r="A211" t="s">
        <v>320</v>
      </c>
      <c r="B211" s="7">
        <v>45717</v>
      </c>
      <c r="C211" t="s">
        <v>29</v>
      </c>
      <c r="D211" t="s">
        <v>30</v>
      </c>
      <c r="E211" t="s">
        <v>52</v>
      </c>
      <c r="F211" t="s">
        <v>53</v>
      </c>
      <c r="G211" t="s">
        <v>58</v>
      </c>
      <c r="H211" t="s">
        <v>74</v>
      </c>
      <c r="I211" s="3">
        <v>103303.9</v>
      </c>
      <c r="J211">
        <v>7</v>
      </c>
      <c r="K211" s="5">
        <v>0.15</v>
      </c>
      <c r="L211" s="3">
        <v>18536.78</v>
      </c>
      <c r="M211" t="s">
        <v>49</v>
      </c>
      <c r="N211">
        <f t="shared" si="6"/>
        <v>2025</v>
      </c>
      <c r="O211" t="str">
        <f t="shared" si="7"/>
        <v>March</v>
      </c>
    </row>
    <row r="212" spans="1:15" x14ac:dyDescent="0.2">
      <c r="A212" t="s">
        <v>321</v>
      </c>
      <c r="B212" s="7">
        <v>45760</v>
      </c>
      <c r="C212" t="s">
        <v>90</v>
      </c>
      <c r="D212" t="s">
        <v>23</v>
      </c>
      <c r="E212" t="s">
        <v>82</v>
      </c>
      <c r="F212" t="s">
        <v>83</v>
      </c>
      <c r="G212" t="s">
        <v>18</v>
      </c>
      <c r="H212" t="s">
        <v>26</v>
      </c>
      <c r="I212" s="3">
        <v>17290.8</v>
      </c>
      <c r="J212">
        <v>1</v>
      </c>
      <c r="K212" s="5">
        <v>0.1</v>
      </c>
      <c r="L212" s="3">
        <v>1532.69</v>
      </c>
      <c r="M212" t="s">
        <v>49</v>
      </c>
      <c r="N212">
        <f t="shared" si="6"/>
        <v>2025</v>
      </c>
      <c r="O212" t="str">
        <f t="shared" si="7"/>
        <v>April</v>
      </c>
    </row>
    <row r="213" spans="1:15" x14ac:dyDescent="0.2">
      <c r="A213" t="s">
        <v>322</v>
      </c>
      <c r="B213" s="7">
        <v>45727</v>
      </c>
      <c r="C213" t="s">
        <v>37</v>
      </c>
      <c r="D213" t="s">
        <v>15</v>
      </c>
      <c r="E213" t="s">
        <v>56</v>
      </c>
      <c r="F213" t="s">
        <v>57</v>
      </c>
      <c r="G213" t="s">
        <v>18</v>
      </c>
      <c r="H213" t="s">
        <v>70</v>
      </c>
      <c r="I213" s="3">
        <v>9153.6</v>
      </c>
      <c r="J213">
        <v>6</v>
      </c>
      <c r="K213" s="5">
        <v>0.2</v>
      </c>
      <c r="L213" s="3">
        <v>674.7</v>
      </c>
      <c r="M213" t="s">
        <v>40</v>
      </c>
      <c r="N213">
        <f t="shared" si="6"/>
        <v>2025</v>
      </c>
      <c r="O213" t="str">
        <f t="shared" si="7"/>
        <v>March</v>
      </c>
    </row>
    <row r="214" spans="1:15" x14ac:dyDescent="0.2">
      <c r="A214" t="s">
        <v>323</v>
      </c>
      <c r="B214" s="7">
        <v>45894</v>
      </c>
      <c r="C214" t="s">
        <v>45</v>
      </c>
      <c r="D214" t="s">
        <v>30</v>
      </c>
      <c r="E214" t="s">
        <v>52</v>
      </c>
      <c r="F214" t="s">
        <v>127</v>
      </c>
      <c r="G214" t="s">
        <v>58</v>
      </c>
      <c r="H214" t="s">
        <v>84</v>
      </c>
      <c r="I214" s="3">
        <v>8827.4</v>
      </c>
      <c r="J214">
        <v>2</v>
      </c>
      <c r="K214" s="5">
        <v>0.05</v>
      </c>
      <c r="L214" s="3">
        <v>2027.13</v>
      </c>
      <c r="M214" t="s">
        <v>35</v>
      </c>
      <c r="N214">
        <f t="shared" si="6"/>
        <v>2025</v>
      </c>
      <c r="O214" t="str">
        <f t="shared" si="7"/>
        <v>August</v>
      </c>
    </row>
    <row r="215" spans="1:15" x14ac:dyDescent="0.2">
      <c r="A215" t="s">
        <v>324</v>
      </c>
      <c r="B215" s="7">
        <v>45903</v>
      </c>
      <c r="C215" t="s">
        <v>51</v>
      </c>
      <c r="D215" t="s">
        <v>15</v>
      </c>
      <c r="E215" t="s">
        <v>61</v>
      </c>
      <c r="F215" t="s">
        <v>111</v>
      </c>
      <c r="G215" t="s">
        <v>33</v>
      </c>
      <c r="H215" t="s">
        <v>48</v>
      </c>
      <c r="I215" s="3">
        <v>8766</v>
      </c>
      <c r="J215">
        <v>4</v>
      </c>
      <c r="K215" s="5">
        <v>0.1</v>
      </c>
      <c r="L215" s="3">
        <v>1415.32</v>
      </c>
      <c r="M215" t="s">
        <v>40</v>
      </c>
      <c r="N215">
        <f t="shared" si="6"/>
        <v>2025</v>
      </c>
      <c r="O215" t="str">
        <f t="shared" si="7"/>
        <v>September</v>
      </c>
    </row>
    <row r="216" spans="1:15" x14ac:dyDescent="0.2">
      <c r="A216" t="s">
        <v>325</v>
      </c>
      <c r="B216" s="7">
        <v>45421</v>
      </c>
      <c r="C216" t="s">
        <v>55</v>
      </c>
      <c r="D216" t="s">
        <v>30</v>
      </c>
      <c r="E216" t="s">
        <v>104</v>
      </c>
      <c r="F216" t="s">
        <v>170</v>
      </c>
      <c r="G216" t="s">
        <v>42</v>
      </c>
      <c r="H216" t="s">
        <v>119</v>
      </c>
      <c r="I216" s="3">
        <v>25716.6</v>
      </c>
      <c r="J216">
        <v>2</v>
      </c>
      <c r="K216" s="5">
        <v>0.1</v>
      </c>
      <c r="L216" s="3">
        <v>5873.92</v>
      </c>
      <c r="M216" t="s">
        <v>40</v>
      </c>
      <c r="N216">
        <f t="shared" si="6"/>
        <v>2024</v>
      </c>
      <c r="O216" t="str">
        <f t="shared" si="7"/>
        <v>May</v>
      </c>
    </row>
    <row r="217" spans="1:15" x14ac:dyDescent="0.2">
      <c r="A217" t="s">
        <v>326</v>
      </c>
      <c r="B217" s="7">
        <v>45940</v>
      </c>
      <c r="C217" t="s">
        <v>37</v>
      </c>
      <c r="D217" t="s">
        <v>23</v>
      </c>
      <c r="E217" t="s">
        <v>79</v>
      </c>
      <c r="F217" t="s">
        <v>80</v>
      </c>
      <c r="G217" t="s">
        <v>33</v>
      </c>
      <c r="H217" t="s">
        <v>109</v>
      </c>
      <c r="I217" s="3">
        <v>99557.1</v>
      </c>
      <c r="J217">
        <v>3</v>
      </c>
      <c r="K217" s="5">
        <v>0.15</v>
      </c>
      <c r="L217" s="3">
        <v>13230.97</v>
      </c>
      <c r="M217" t="s">
        <v>49</v>
      </c>
      <c r="N217">
        <f t="shared" si="6"/>
        <v>2025</v>
      </c>
      <c r="O217" t="str">
        <f t="shared" si="7"/>
        <v>October</v>
      </c>
    </row>
    <row r="218" spans="1:15" x14ac:dyDescent="0.2">
      <c r="A218" t="s">
        <v>327</v>
      </c>
      <c r="B218" s="7">
        <v>46006</v>
      </c>
      <c r="C218" t="s">
        <v>45</v>
      </c>
      <c r="D218" t="s">
        <v>15</v>
      </c>
      <c r="E218" t="s">
        <v>65</v>
      </c>
      <c r="F218" t="s">
        <v>66</v>
      </c>
      <c r="G218" t="s">
        <v>42</v>
      </c>
      <c r="H218" t="s">
        <v>43</v>
      </c>
      <c r="I218" s="3">
        <v>2453.1</v>
      </c>
      <c r="J218">
        <v>6</v>
      </c>
      <c r="K218" s="5">
        <v>0.15</v>
      </c>
      <c r="L218" s="3">
        <v>415.72</v>
      </c>
      <c r="M218" t="s">
        <v>20</v>
      </c>
      <c r="N218">
        <f t="shared" si="6"/>
        <v>2025</v>
      </c>
      <c r="O218" t="str">
        <f t="shared" si="7"/>
        <v>December</v>
      </c>
    </row>
    <row r="219" spans="1:15" x14ac:dyDescent="0.2">
      <c r="A219" t="s">
        <v>328</v>
      </c>
      <c r="B219" s="7">
        <v>45425</v>
      </c>
      <c r="C219" t="s">
        <v>90</v>
      </c>
      <c r="D219" t="s">
        <v>15</v>
      </c>
      <c r="E219" t="s">
        <v>61</v>
      </c>
      <c r="F219" t="s">
        <v>111</v>
      </c>
      <c r="G219" t="s">
        <v>33</v>
      </c>
      <c r="H219" t="s">
        <v>109</v>
      </c>
      <c r="I219" s="3">
        <v>9079.2000000000007</v>
      </c>
      <c r="J219">
        <v>8</v>
      </c>
      <c r="K219" s="5">
        <v>0.1</v>
      </c>
      <c r="L219" s="3">
        <v>1493.18</v>
      </c>
      <c r="M219" t="s">
        <v>49</v>
      </c>
      <c r="N219">
        <f t="shared" si="6"/>
        <v>2024</v>
      </c>
      <c r="O219" t="str">
        <f t="shared" si="7"/>
        <v>May</v>
      </c>
    </row>
    <row r="220" spans="1:15" x14ac:dyDescent="0.2">
      <c r="A220" t="s">
        <v>329</v>
      </c>
      <c r="B220" s="7">
        <v>45730</v>
      </c>
      <c r="C220" t="s">
        <v>76</v>
      </c>
      <c r="D220" t="s">
        <v>30</v>
      </c>
      <c r="E220" t="s">
        <v>52</v>
      </c>
      <c r="F220" t="s">
        <v>118</v>
      </c>
      <c r="G220" t="s">
        <v>18</v>
      </c>
      <c r="H220" t="s">
        <v>70</v>
      </c>
      <c r="I220" s="3">
        <v>33122.800000000003</v>
      </c>
      <c r="J220">
        <v>8</v>
      </c>
      <c r="K220" s="5">
        <v>0.15</v>
      </c>
      <c r="L220" s="3">
        <v>4431.95</v>
      </c>
      <c r="M220" t="s">
        <v>40</v>
      </c>
      <c r="N220">
        <f t="shared" si="6"/>
        <v>2025</v>
      </c>
      <c r="O220" t="str">
        <f t="shared" si="7"/>
        <v>March</v>
      </c>
    </row>
    <row r="221" spans="1:15" x14ac:dyDescent="0.2">
      <c r="A221" t="s">
        <v>330</v>
      </c>
      <c r="B221" s="7">
        <v>45932</v>
      </c>
      <c r="C221" t="s">
        <v>68</v>
      </c>
      <c r="D221" t="s">
        <v>15</v>
      </c>
      <c r="E221" t="s">
        <v>65</v>
      </c>
      <c r="F221" t="s">
        <v>147</v>
      </c>
      <c r="G221" t="s">
        <v>33</v>
      </c>
      <c r="H221" t="s">
        <v>34</v>
      </c>
      <c r="I221" s="3">
        <v>9251.1</v>
      </c>
      <c r="J221">
        <v>6</v>
      </c>
      <c r="K221" s="5">
        <v>0.05</v>
      </c>
      <c r="L221" s="3">
        <v>720.27</v>
      </c>
      <c r="M221" t="s">
        <v>40</v>
      </c>
      <c r="N221">
        <f t="shared" si="6"/>
        <v>2025</v>
      </c>
      <c r="O221" t="str">
        <f t="shared" si="7"/>
        <v>October</v>
      </c>
    </row>
    <row r="222" spans="1:15" x14ac:dyDescent="0.2">
      <c r="A222" t="s">
        <v>331</v>
      </c>
      <c r="B222" s="7">
        <v>45301</v>
      </c>
      <c r="C222" t="s">
        <v>14</v>
      </c>
      <c r="D222" t="s">
        <v>30</v>
      </c>
      <c r="E222" t="s">
        <v>52</v>
      </c>
      <c r="F222" t="s">
        <v>53</v>
      </c>
      <c r="G222" t="s">
        <v>18</v>
      </c>
      <c r="H222" t="s">
        <v>70</v>
      </c>
      <c r="I222" s="3">
        <v>32947.199999999997</v>
      </c>
      <c r="J222">
        <v>8</v>
      </c>
      <c r="K222" s="5">
        <v>0.2</v>
      </c>
      <c r="L222" s="3">
        <v>5469.12</v>
      </c>
      <c r="M222" t="s">
        <v>27</v>
      </c>
      <c r="N222">
        <f t="shared" si="6"/>
        <v>2024</v>
      </c>
      <c r="O222" t="str">
        <f t="shared" si="7"/>
        <v>January</v>
      </c>
    </row>
    <row r="223" spans="1:15" x14ac:dyDescent="0.2">
      <c r="A223" t="s">
        <v>332</v>
      </c>
      <c r="B223" s="7">
        <v>45598</v>
      </c>
      <c r="C223" t="s">
        <v>55</v>
      </c>
      <c r="D223" t="s">
        <v>23</v>
      </c>
      <c r="E223" t="s">
        <v>38</v>
      </c>
      <c r="F223" t="s">
        <v>140</v>
      </c>
      <c r="G223" t="s">
        <v>33</v>
      </c>
      <c r="H223" t="s">
        <v>109</v>
      </c>
      <c r="I223" s="3">
        <v>105216</v>
      </c>
      <c r="J223">
        <v>4</v>
      </c>
      <c r="K223" s="5">
        <v>0</v>
      </c>
      <c r="L223" s="3">
        <v>15011.2</v>
      </c>
      <c r="M223" t="s">
        <v>49</v>
      </c>
      <c r="N223">
        <f t="shared" si="6"/>
        <v>2024</v>
      </c>
      <c r="O223" t="str">
        <f t="shared" si="7"/>
        <v>November</v>
      </c>
    </row>
    <row r="224" spans="1:15" x14ac:dyDescent="0.2">
      <c r="A224" t="s">
        <v>333</v>
      </c>
      <c r="B224" s="7">
        <v>45922</v>
      </c>
      <c r="C224" t="s">
        <v>29</v>
      </c>
      <c r="D224" t="s">
        <v>23</v>
      </c>
      <c r="E224" t="s">
        <v>24</v>
      </c>
      <c r="F224" t="s">
        <v>25</v>
      </c>
      <c r="G224" t="s">
        <v>18</v>
      </c>
      <c r="H224" t="s">
        <v>70</v>
      </c>
      <c r="I224" s="3">
        <v>85619.7</v>
      </c>
      <c r="J224">
        <v>3</v>
      </c>
      <c r="K224" s="5">
        <v>0.05</v>
      </c>
      <c r="L224" s="3">
        <v>21531.54</v>
      </c>
      <c r="M224" t="s">
        <v>40</v>
      </c>
      <c r="N224">
        <f t="shared" si="6"/>
        <v>2025</v>
      </c>
      <c r="O224" t="str">
        <f t="shared" si="7"/>
        <v>September</v>
      </c>
    </row>
    <row r="225" spans="1:15" x14ac:dyDescent="0.2">
      <c r="A225" t="s">
        <v>334</v>
      </c>
      <c r="B225" s="7">
        <v>45952</v>
      </c>
      <c r="C225" t="s">
        <v>37</v>
      </c>
      <c r="D225" t="s">
        <v>23</v>
      </c>
      <c r="E225" t="s">
        <v>82</v>
      </c>
      <c r="F225" t="s">
        <v>240</v>
      </c>
      <c r="G225" t="s">
        <v>33</v>
      </c>
      <c r="H225" t="s">
        <v>128</v>
      </c>
      <c r="I225" s="3">
        <v>161182.70000000001</v>
      </c>
      <c r="J225">
        <v>7</v>
      </c>
      <c r="K225" s="5">
        <v>0.05</v>
      </c>
      <c r="L225" s="3">
        <v>18867.61</v>
      </c>
      <c r="M225" t="s">
        <v>40</v>
      </c>
      <c r="N225">
        <f t="shared" si="6"/>
        <v>2025</v>
      </c>
      <c r="O225" t="str">
        <f t="shared" si="7"/>
        <v>October</v>
      </c>
    </row>
    <row r="226" spans="1:15" x14ac:dyDescent="0.2">
      <c r="A226" t="s">
        <v>335</v>
      </c>
      <c r="B226" s="7">
        <v>45594</v>
      </c>
      <c r="C226" t="s">
        <v>14</v>
      </c>
      <c r="D226" t="s">
        <v>15</v>
      </c>
      <c r="E226" t="s">
        <v>56</v>
      </c>
      <c r="F226" t="s">
        <v>100</v>
      </c>
      <c r="G226" t="s">
        <v>42</v>
      </c>
      <c r="H226" t="s">
        <v>102</v>
      </c>
      <c r="I226" s="3">
        <v>10388.25</v>
      </c>
      <c r="J226">
        <v>5</v>
      </c>
      <c r="K226" s="5">
        <v>0.05</v>
      </c>
      <c r="L226" s="3">
        <v>2254.96</v>
      </c>
      <c r="M226" t="s">
        <v>40</v>
      </c>
      <c r="N226">
        <f t="shared" si="6"/>
        <v>2024</v>
      </c>
      <c r="O226" t="str">
        <f t="shared" si="7"/>
        <v>October</v>
      </c>
    </row>
    <row r="227" spans="1:15" x14ac:dyDescent="0.2">
      <c r="A227" t="s">
        <v>336</v>
      </c>
      <c r="B227" s="7">
        <v>45874</v>
      </c>
      <c r="C227" t="s">
        <v>22</v>
      </c>
      <c r="D227" t="s">
        <v>30</v>
      </c>
      <c r="E227" t="s">
        <v>122</v>
      </c>
      <c r="F227" t="s">
        <v>160</v>
      </c>
      <c r="G227" t="s">
        <v>18</v>
      </c>
      <c r="H227" t="s">
        <v>26</v>
      </c>
      <c r="I227" s="3">
        <v>2151</v>
      </c>
      <c r="J227">
        <v>2</v>
      </c>
      <c r="K227" s="5">
        <v>0.1</v>
      </c>
      <c r="L227" s="3">
        <v>175.08</v>
      </c>
      <c r="M227" t="s">
        <v>27</v>
      </c>
      <c r="N227">
        <f t="shared" si="6"/>
        <v>2025</v>
      </c>
      <c r="O227" t="str">
        <f t="shared" si="7"/>
        <v>August</v>
      </c>
    </row>
    <row r="228" spans="1:15" x14ac:dyDescent="0.2">
      <c r="A228" t="s">
        <v>337</v>
      </c>
      <c r="B228" s="7">
        <v>45699</v>
      </c>
      <c r="C228" t="s">
        <v>51</v>
      </c>
      <c r="D228" t="s">
        <v>15</v>
      </c>
      <c r="E228" t="s">
        <v>46</v>
      </c>
      <c r="F228" t="s">
        <v>176</v>
      </c>
      <c r="G228" t="s">
        <v>58</v>
      </c>
      <c r="H228" t="s">
        <v>95</v>
      </c>
      <c r="I228" s="3">
        <v>1966</v>
      </c>
      <c r="J228">
        <v>2</v>
      </c>
      <c r="K228" s="5">
        <v>0</v>
      </c>
      <c r="L228" s="3">
        <v>520.04</v>
      </c>
      <c r="M228" t="s">
        <v>27</v>
      </c>
      <c r="N228">
        <f t="shared" si="6"/>
        <v>2025</v>
      </c>
      <c r="O228" t="str">
        <f t="shared" si="7"/>
        <v>February</v>
      </c>
    </row>
    <row r="229" spans="1:15" x14ac:dyDescent="0.2">
      <c r="A229" t="s">
        <v>338</v>
      </c>
      <c r="B229" s="7">
        <v>45815</v>
      </c>
      <c r="C229" t="s">
        <v>76</v>
      </c>
      <c r="D229" t="s">
        <v>15</v>
      </c>
      <c r="E229" t="s">
        <v>56</v>
      </c>
      <c r="F229" t="s">
        <v>100</v>
      </c>
      <c r="G229" t="s">
        <v>58</v>
      </c>
      <c r="H229" t="s">
        <v>59</v>
      </c>
      <c r="I229" s="3">
        <v>8652</v>
      </c>
      <c r="J229">
        <v>7</v>
      </c>
      <c r="K229" s="5">
        <v>0</v>
      </c>
      <c r="L229" s="3">
        <v>1228.42</v>
      </c>
      <c r="M229" t="s">
        <v>40</v>
      </c>
      <c r="N229">
        <f t="shared" si="6"/>
        <v>2025</v>
      </c>
      <c r="O229" t="str">
        <f t="shared" si="7"/>
        <v>June</v>
      </c>
    </row>
    <row r="230" spans="1:15" x14ac:dyDescent="0.2">
      <c r="A230" t="s">
        <v>339</v>
      </c>
      <c r="B230" s="7">
        <v>45736</v>
      </c>
      <c r="C230" t="s">
        <v>37</v>
      </c>
      <c r="D230" t="s">
        <v>15</v>
      </c>
      <c r="E230" t="s">
        <v>65</v>
      </c>
      <c r="F230" t="s">
        <v>66</v>
      </c>
      <c r="G230" t="s">
        <v>58</v>
      </c>
      <c r="H230" t="s">
        <v>95</v>
      </c>
      <c r="I230" s="3">
        <v>2241.0500000000002</v>
      </c>
      <c r="J230">
        <v>7</v>
      </c>
      <c r="K230" s="5">
        <v>0.05</v>
      </c>
      <c r="L230" s="3">
        <v>189.91</v>
      </c>
      <c r="M230" t="s">
        <v>49</v>
      </c>
      <c r="N230">
        <f t="shared" si="6"/>
        <v>2025</v>
      </c>
      <c r="O230" t="str">
        <f t="shared" si="7"/>
        <v>March</v>
      </c>
    </row>
    <row r="231" spans="1:15" x14ac:dyDescent="0.2">
      <c r="A231" t="s">
        <v>340</v>
      </c>
      <c r="B231" s="7">
        <v>45647</v>
      </c>
      <c r="C231" t="s">
        <v>51</v>
      </c>
      <c r="D231" t="s">
        <v>15</v>
      </c>
      <c r="E231" t="s">
        <v>56</v>
      </c>
      <c r="F231" t="s">
        <v>100</v>
      </c>
      <c r="G231" t="s">
        <v>18</v>
      </c>
      <c r="H231" t="s">
        <v>19</v>
      </c>
      <c r="I231" s="3">
        <v>1986</v>
      </c>
      <c r="J231">
        <v>3</v>
      </c>
      <c r="K231" s="5">
        <v>0</v>
      </c>
      <c r="L231" s="3">
        <v>223.95</v>
      </c>
      <c r="M231" t="s">
        <v>35</v>
      </c>
      <c r="N231">
        <f t="shared" si="6"/>
        <v>2024</v>
      </c>
      <c r="O231" t="str">
        <f t="shared" si="7"/>
        <v>December</v>
      </c>
    </row>
    <row r="232" spans="1:15" x14ac:dyDescent="0.2">
      <c r="A232" t="s">
        <v>341</v>
      </c>
      <c r="B232" s="7">
        <v>45570</v>
      </c>
      <c r="C232" t="s">
        <v>51</v>
      </c>
      <c r="D232" t="s">
        <v>15</v>
      </c>
      <c r="E232" t="s">
        <v>65</v>
      </c>
      <c r="F232" t="s">
        <v>147</v>
      </c>
      <c r="G232" t="s">
        <v>33</v>
      </c>
      <c r="H232" t="s">
        <v>34</v>
      </c>
      <c r="I232" s="3">
        <v>990</v>
      </c>
      <c r="J232">
        <v>5</v>
      </c>
      <c r="K232" s="5">
        <v>0.1</v>
      </c>
      <c r="L232" s="3">
        <v>214.26</v>
      </c>
      <c r="M232" t="s">
        <v>20</v>
      </c>
      <c r="N232">
        <f t="shared" si="6"/>
        <v>2024</v>
      </c>
      <c r="O232" t="str">
        <f t="shared" si="7"/>
        <v>October</v>
      </c>
    </row>
    <row r="233" spans="1:15" x14ac:dyDescent="0.2">
      <c r="A233" t="s">
        <v>342</v>
      </c>
      <c r="B233" s="7">
        <v>45553</v>
      </c>
      <c r="C233" t="s">
        <v>37</v>
      </c>
      <c r="D233" t="s">
        <v>30</v>
      </c>
      <c r="E233" t="s">
        <v>72</v>
      </c>
      <c r="F233" t="s">
        <v>207</v>
      </c>
      <c r="G233" t="s">
        <v>18</v>
      </c>
      <c r="H233" t="s">
        <v>63</v>
      </c>
      <c r="I233" s="3">
        <v>97874.7</v>
      </c>
      <c r="J233">
        <v>6</v>
      </c>
      <c r="K233" s="5">
        <v>0.05</v>
      </c>
      <c r="L233" s="3">
        <v>13804.01</v>
      </c>
      <c r="M233" t="s">
        <v>35</v>
      </c>
      <c r="N233">
        <f t="shared" si="6"/>
        <v>2024</v>
      </c>
      <c r="O233" t="str">
        <f t="shared" si="7"/>
        <v>September</v>
      </c>
    </row>
    <row r="234" spans="1:15" x14ac:dyDescent="0.2">
      <c r="A234" t="s">
        <v>343</v>
      </c>
      <c r="B234" s="7">
        <v>45445</v>
      </c>
      <c r="C234" t="s">
        <v>55</v>
      </c>
      <c r="D234" t="s">
        <v>15</v>
      </c>
      <c r="E234" t="s">
        <v>16</v>
      </c>
      <c r="F234" t="s">
        <v>17</v>
      </c>
      <c r="G234" t="s">
        <v>33</v>
      </c>
      <c r="H234" t="s">
        <v>128</v>
      </c>
      <c r="I234" s="3">
        <v>1828.8</v>
      </c>
      <c r="J234">
        <v>1</v>
      </c>
      <c r="K234" s="5">
        <v>0.1</v>
      </c>
      <c r="L234" s="3">
        <v>240.66</v>
      </c>
      <c r="M234" t="s">
        <v>20</v>
      </c>
      <c r="N234">
        <f t="shared" si="6"/>
        <v>2024</v>
      </c>
      <c r="O234" t="str">
        <f t="shared" si="7"/>
        <v>June</v>
      </c>
    </row>
    <row r="235" spans="1:15" x14ac:dyDescent="0.2">
      <c r="A235" t="s">
        <v>344</v>
      </c>
      <c r="B235" s="7">
        <v>45414</v>
      </c>
      <c r="C235" t="s">
        <v>51</v>
      </c>
      <c r="D235" t="s">
        <v>15</v>
      </c>
      <c r="E235" t="s">
        <v>61</v>
      </c>
      <c r="F235" t="s">
        <v>111</v>
      </c>
      <c r="G235" t="s">
        <v>33</v>
      </c>
      <c r="H235" t="s">
        <v>34</v>
      </c>
      <c r="I235" s="3">
        <v>8477</v>
      </c>
      <c r="J235">
        <v>7</v>
      </c>
      <c r="K235" s="5">
        <v>0</v>
      </c>
      <c r="L235" s="3">
        <v>1647.14</v>
      </c>
      <c r="M235" t="s">
        <v>20</v>
      </c>
      <c r="N235">
        <f t="shared" si="6"/>
        <v>2024</v>
      </c>
      <c r="O235" t="str">
        <f t="shared" si="7"/>
        <v>May</v>
      </c>
    </row>
    <row r="236" spans="1:15" x14ac:dyDescent="0.2">
      <c r="A236" t="s">
        <v>345</v>
      </c>
      <c r="B236" s="7">
        <v>45759</v>
      </c>
      <c r="C236" t="s">
        <v>14</v>
      </c>
      <c r="D236" t="s">
        <v>23</v>
      </c>
      <c r="E236" t="s">
        <v>24</v>
      </c>
      <c r="F236" t="s">
        <v>77</v>
      </c>
      <c r="G236" t="s">
        <v>18</v>
      </c>
      <c r="H236" t="s">
        <v>63</v>
      </c>
      <c r="I236" s="3">
        <v>417283.2</v>
      </c>
      <c r="J236">
        <v>8</v>
      </c>
      <c r="K236" s="5">
        <v>0.1</v>
      </c>
      <c r="L236" s="3">
        <v>30160.02</v>
      </c>
      <c r="M236" t="s">
        <v>27</v>
      </c>
      <c r="N236">
        <f t="shared" si="6"/>
        <v>2025</v>
      </c>
      <c r="O236" t="str">
        <f t="shared" si="7"/>
        <v>April</v>
      </c>
    </row>
    <row r="237" spans="1:15" x14ac:dyDescent="0.2">
      <c r="A237" t="s">
        <v>346</v>
      </c>
      <c r="B237" s="7">
        <v>45543</v>
      </c>
      <c r="C237" t="s">
        <v>55</v>
      </c>
      <c r="D237" t="s">
        <v>23</v>
      </c>
      <c r="E237" t="s">
        <v>79</v>
      </c>
      <c r="F237" t="s">
        <v>80</v>
      </c>
      <c r="G237" t="s">
        <v>42</v>
      </c>
      <c r="H237" t="s">
        <v>98</v>
      </c>
      <c r="I237" s="3">
        <v>191889.6</v>
      </c>
      <c r="J237">
        <v>6</v>
      </c>
      <c r="K237" s="5">
        <v>0.2</v>
      </c>
      <c r="L237" s="3">
        <v>34942.410000000003</v>
      </c>
      <c r="M237" t="s">
        <v>20</v>
      </c>
      <c r="N237">
        <f t="shared" si="6"/>
        <v>2024</v>
      </c>
      <c r="O237" t="str">
        <f t="shared" si="7"/>
        <v>September</v>
      </c>
    </row>
    <row r="238" spans="1:15" x14ac:dyDescent="0.2">
      <c r="A238" t="s">
        <v>347</v>
      </c>
      <c r="B238" s="7">
        <v>45606</v>
      </c>
      <c r="C238" t="s">
        <v>37</v>
      </c>
      <c r="D238" t="s">
        <v>30</v>
      </c>
      <c r="E238" t="s">
        <v>52</v>
      </c>
      <c r="F238" t="s">
        <v>118</v>
      </c>
      <c r="G238" t="s">
        <v>33</v>
      </c>
      <c r="H238" t="s">
        <v>34</v>
      </c>
      <c r="I238" s="3">
        <v>10010.450000000001</v>
      </c>
      <c r="J238">
        <v>1</v>
      </c>
      <c r="K238" s="5">
        <v>0.15</v>
      </c>
      <c r="L238" s="3">
        <v>2125.23</v>
      </c>
      <c r="M238" t="s">
        <v>40</v>
      </c>
      <c r="N238">
        <f t="shared" si="6"/>
        <v>2024</v>
      </c>
      <c r="O238" t="str">
        <f t="shared" si="7"/>
        <v>November</v>
      </c>
    </row>
    <row r="239" spans="1:15" x14ac:dyDescent="0.2">
      <c r="A239" t="s">
        <v>348</v>
      </c>
      <c r="B239" s="7">
        <v>45824</v>
      </c>
      <c r="C239" t="s">
        <v>22</v>
      </c>
      <c r="D239" t="s">
        <v>15</v>
      </c>
      <c r="E239" t="s">
        <v>46</v>
      </c>
      <c r="F239" t="s">
        <v>176</v>
      </c>
      <c r="G239" t="s">
        <v>58</v>
      </c>
      <c r="H239" t="s">
        <v>59</v>
      </c>
      <c r="I239" s="3">
        <v>1443</v>
      </c>
      <c r="J239">
        <v>3</v>
      </c>
      <c r="K239" s="5">
        <v>0</v>
      </c>
      <c r="L239" s="3">
        <v>381.32</v>
      </c>
      <c r="M239" t="s">
        <v>27</v>
      </c>
      <c r="N239">
        <f t="shared" si="6"/>
        <v>2025</v>
      </c>
      <c r="O239" t="str">
        <f t="shared" si="7"/>
        <v>June</v>
      </c>
    </row>
    <row r="240" spans="1:15" x14ac:dyDescent="0.2">
      <c r="A240" t="s">
        <v>349</v>
      </c>
      <c r="B240" s="7">
        <v>45559</v>
      </c>
      <c r="C240" t="s">
        <v>45</v>
      </c>
      <c r="D240" t="s">
        <v>30</v>
      </c>
      <c r="E240" t="s">
        <v>52</v>
      </c>
      <c r="F240" t="s">
        <v>118</v>
      </c>
      <c r="G240" t="s">
        <v>18</v>
      </c>
      <c r="H240" t="s">
        <v>26</v>
      </c>
      <c r="I240" s="3">
        <v>18886</v>
      </c>
      <c r="J240">
        <v>7</v>
      </c>
      <c r="K240" s="5">
        <v>0.05</v>
      </c>
      <c r="L240" s="3">
        <v>2169.14</v>
      </c>
      <c r="M240" t="s">
        <v>49</v>
      </c>
      <c r="N240">
        <f t="shared" si="6"/>
        <v>2024</v>
      </c>
      <c r="O240" t="str">
        <f t="shared" si="7"/>
        <v>September</v>
      </c>
    </row>
    <row r="241" spans="1:15" x14ac:dyDescent="0.2">
      <c r="A241" t="s">
        <v>350</v>
      </c>
      <c r="B241" s="7">
        <v>45400</v>
      </c>
      <c r="C241" t="s">
        <v>55</v>
      </c>
      <c r="D241" t="s">
        <v>15</v>
      </c>
      <c r="E241" t="s">
        <v>65</v>
      </c>
      <c r="F241" t="s">
        <v>66</v>
      </c>
      <c r="G241" t="s">
        <v>42</v>
      </c>
      <c r="H241" t="s">
        <v>43</v>
      </c>
      <c r="I241" s="3">
        <v>2102.4</v>
      </c>
      <c r="J241">
        <v>4</v>
      </c>
      <c r="K241" s="5">
        <v>0.2</v>
      </c>
      <c r="L241" s="3">
        <v>108.89</v>
      </c>
      <c r="M241" t="s">
        <v>49</v>
      </c>
      <c r="N241">
        <f t="shared" si="6"/>
        <v>2024</v>
      </c>
      <c r="O241" t="str">
        <f t="shared" si="7"/>
        <v>April</v>
      </c>
    </row>
    <row r="242" spans="1:15" x14ac:dyDescent="0.2">
      <c r="A242" t="s">
        <v>351</v>
      </c>
      <c r="B242" s="7">
        <v>45414</v>
      </c>
      <c r="C242" t="s">
        <v>37</v>
      </c>
      <c r="D242" t="s">
        <v>30</v>
      </c>
      <c r="E242" t="s">
        <v>104</v>
      </c>
      <c r="F242" t="s">
        <v>170</v>
      </c>
      <c r="G242" t="s">
        <v>58</v>
      </c>
      <c r="H242" t="s">
        <v>95</v>
      </c>
      <c r="I242" s="3">
        <v>41056.199999999997</v>
      </c>
      <c r="J242">
        <v>6</v>
      </c>
      <c r="K242" s="5">
        <v>0.1</v>
      </c>
      <c r="L242" s="3">
        <v>6062.74</v>
      </c>
      <c r="M242" t="s">
        <v>40</v>
      </c>
      <c r="N242">
        <f t="shared" si="6"/>
        <v>2024</v>
      </c>
      <c r="O242" t="str">
        <f t="shared" si="7"/>
        <v>May</v>
      </c>
    </row>
    <row r="243" spans="1:15" x14ac:dyDescent="0.2">
      <c r="A243" t="s">
        <v>352</v>
      </c>
      <c r="B243" s="7">
        <v>45985</v>
      </c>
      <c r="C243" t="s">
        <v>68</v>
      </c>
      <c r="D243" t="s">
        <v>15</v>
      </c>
      <c r="E243" t="s">
        <v>65</v>
      </c>
      <c r="F243" t="s">
        <v>66</v>
      </c>
      <c r="G243" t="s">
        <v>18</v>
      </c>
      <c r="H243" t="s">
        <v>26</v>
      </c>
      <c r="I243" s="3">
        <v>3970.35</v>
      </c>
      <c r="J243">
        <v>3</v>
      </c>
      <c r="K243" s="5">
        <v>0.15</v>
      </c>
      <c r="L243" s="3">
        <v>576.46</v>
      </c>
      <c r="M243" t="s">
        <v>27</v>
      </c>
      <c r="N243">
        <f t="shared" si="6"/>
        <v>2025</v>
      </c>
      <c r="O243" t="str">
        <f t="shared" si="7"/>
        <v>November</v>
      </c>
    </row>
    <row r="244" spans="1:15" x14ac:dyDescent="0.2">
      <c r="A244" t="s">
        <v>353</v>
      </c>
      <c r="B244" s="7">
        <v>45355</v>
      </c>
      <c r="C244" t="s">
        <v>76</v>
      </c>
      <c r="D244" t="s">
        <v>23</v>
      </c>
      <c r="E244" t="s">
        <v>82</v>
      </c>
      <c r="F244" t="s">
        <v>240</v>
      </c>
      <c r="G244" t="s">
        <v>58</v>
      </c>
      <c r="H244" t="s">
        <v>59</v>
      </c>
      <c r="I244" s="3">
        <v>28146.6</v>
      </c>
      <c r="J244">
        <v>4</v>
      </c>
      <c r="K244" s="5">
        <v>0.05</v>
      </c>
      <c r="L244" s="3">
        <v>2583.59</v>
      </c>
      <c r="M244" t="s">
        <v>40</v>
      </c>
      <c r="N244">
        <f t="shared" si="6"/>
        <v>2024</v>
      </c>
      <c r="O244" t="str">
        <f t="shared" si="7"/>
        <v>March</v>
      </c>
    </row>
    <row r="245" spans="1:15" x14ac:dyDescent="0.2">
      <c r="A245" t="s">
        <v>354</v>
      </c>
      <c r="B245" s="7">
        <v>45953</v>
      </c>
      <c r="C245" t="s">
        <v>29</v>
      </c>
      <c r="D245" t="s">
        <v>23</v>
      </c>
      <c r="E245" t="s">
        <v>38</v>
      </c>
      <c r="F245" t="s">
        <v>39</v>
      </c>
      <c r="G245" t="s">
        <v>42</v>
      </c>
      <c r="H245" t="s">
        <v>102</v>
      </c>
      <c r="I245" s="3">
        <v>306620</v>
      </c>
      <c r="J245">
        <v>5</v>
      </c>
      <c r="K245" s="5">
        <v>0</v>
      </c>
      <c r="L245" s="3">
        <v>36656.44</v>
      </c>
      <c r="M245" t="s">
        <v>40</v>
      </c>
      <c r="N245">
        <f t="shared" si="6"/>
        <v>2025</v>
      </c>
      <c r="O245" t="str">
        <f t="shared" si="7"/>
        <v>October</v>
      </c>
    </row>
    <row r="246" spans="1:15" x14ac:dyDescent="0.2">
      <c r="A246" t="s">
        <v>355</v>
      </c>
      <c r="B246" s="7">
        <v>45991</v>
      </c>
      <c r="C246" t="s">
        <v>22</v>
      </c>
      <c r="D246" t="s">
        <v>23</v>
      </c>
      <c r="E246" t="s">
        <v>79</v>
      </c>
      <c r="F246" t="s">
        <v>80</v>
      </c>
      <c r="G246" t="s">
        <v>18</v>
      </c>
      <c r="H246" t="s">
        <v>70</v>
      </c>
      <c r="I246" s="3">
        <v>10377.65</v>
      </c>
      <c r="J246">
        <v>1</v>
      </c>
      <c r="K246" s="5">
        <v>0.15</v>
      </c>
      <c r="L246" s="3">
        <v>502.24</v>
      </c>
      <c r="M246" t="s">
        <v>40</v>
      </c>
      <c r="N246">
        <f t="shared" si="6"/>
        <v>2025</v>
      </c>
      <c r="O246" t="str">
        <f t="shared" si="7"/>
        <v>November</v>
      </c>
    </row>
    <row r="247" spans="1:15" x14ac:dyDescent="0.2">
      <c r="A247" t="s">
        <v>356</v>
      </c>
      <c r="B247" s="7">
        <v>45543</v>
      </c>
      <c r="C247" t="s">
        <v>68</v>
      </c>
      <c r="D247" t="s">
        <v>30</v>
      </c>
      <c r="E247" t="s">
        <v>31</v>
      </c>
      <c r="F247" t="s">
        <v>97</v>
      </c>
      <c r="G247" t="s">
        <v>33</v>
      </c>
      <c r="H247" t="s">
        <v>34</v>
      </c>
      <c r="I247" s="3">
        <v>36288</v>
      </c>
      <c r="J247">
        <v>8</v>
      </c>
      <c r="K247" s="5">
        <v>0.2</v>
      </c>
      <c r="L247" s="3">
        <v>5582.38</v>
      </c>
      <c r="M247" t="s">
        <v>49</v>
      </c>
      <c r="N247">
        <f t="shared" si="6"/>
        <v>2024</v>
      </c>
      <c r="O247" t="str">
        <f t="shared" si="7"/>
        <v>September</v>
      </c>
    </row>
    <row r="248" spans="1:15" x14ac:dyDescent="0.2">
      <c r="A248" t="s">
        <v>357</v>
      </c>
      <c r="B248" s="7">
        <v>45830</v>
      </c>
      <c r="C248" t="s">
        <v>76</v>
      </c>
      <c r="D248" t="s">
        <v>30</v>
      </c>
      <c r="E248" t="s">
        <v>72</v>
      </c>
      <c r="F248" t="s">
        <v>217</v>
      </c>
      <c r="G248" t="s">
        <v>58</v>
      </c>
      <c r="H248" t="s">
        <v>95</v>
      </c>
      <c r="I248" s="3">
        <v>25156</v>
      </c>
      <c r="J248">
        <v>5</v>
      </c>
      <c r="K248" s="5">
        <v>0.05</v>
      </c>
      <c r="L248" s="3">
        <v>4931.34</v>
      </c>
      <c r="M248" t="s">
        <v>35</v>
      </c>
      <c r="N248">
        <f t="shared" si="6"/>
        <v>2025</v>
      </c>
      <c r="O248" t="str">
        <f t="shared" si="7"/>
        <v>June</v>
      </c>
    </row>
    <row r="249" spans="1:15" x14ac:dyDescent="0.2">
      <c r="A249" t="s">
        <v>358</v>
      </c>
      <c r="B249" s="7">
        <v>45318</v>
      </c>
      <c r="C249" t="s">
        <v>45</v>
      </c>
      <c r="D249" t="s">
        <v>23</v>
      </c>
      <c r="E249" t="s">
        <v>38</v>
      </c>
      <c r="F249" t="s">
        <v>39</v>
      </c>
      <c r="G249" t="s">
        <v>42</v>
      </c>
      <c r="H249" t="s">
        <v>43</v>
      </c>
      <c r="I249" s="3">
        <v>161472.79999999999</v>
      </c>
      <c r="J249">
        <v>8</v>
      </c>
      <c r="K249" s="5">
        <v>0.15</v>
      </c>
      <c r="L249" s="3">
        <v>15596.2</v>
      </c>
      <c r="M249" t="s">
        <v>35</v>
      </c>
      <c r="N249">
        <f t="shared" si="6"/>
        <v>2024</v>
      </c>
      <c r="O249" t="str">
        <f t="shared" si="7"/>
        <v>January</v>
      </c>
    </row>
    <row r="250" spans="1:15" x14ac:dyDescent="0.2">
      <c r="A250" t="s">
        <v>359</v>
      </c>
      <c r="B250" s="7">
        <v>45538</v>
      </c>
      <c r="C250" t="s">
        <v>68</v>
      </c>
      <c r="D250" t="s">
        <v>23</v>
      </c>
      <c r="E250" t="s">
        <v>82</v>
      </c>
      <c r="F250" t="s">
        <v>83</v>
      </c>
      <c r="G250" t="s">
        <v>42</v>
      </c>
      <c r="H250" t="s">
        <v>102</v>
      </c>
      <c r="I250" s="3">
        <v>308730</v>
      </c>
      <c r="J250">
        <v>6</v>
      </c>
      <c r="K250" s="5">
        <v>0</v>
      </c>
      <c r="L250" s="3">
        <v>40002.58</v>
      </c>
      <c r="M250" t="s">
        <v>35</v>
      </c>
      <c r="N250">
        <f t="shared" si="6"/>
        <v>2024</v>
      </c>
      <c r="O250" t="str">
        <f t="shared" si="7"/>
        <v>September</v>
      </c>
    </row>
    <row r="251" spans="1:15" x14ac:dyDescent="0.2">
      <c r="A251" t="s">
        <v>360</v>
      </c>
      <c r="B251" s="7">
        <v>45320</v>
      </c>
      <c r="C251" t="s">
        <v>45</v>
      </c>
      <c r="D251" t="s">
        <v>15</v>
      </c>
      <c r="E251" t="s">
        <v>16</v>
      </c>
      <c r="F251" t="s">
        <v>204</v>
      </c>
      <c r="G251" t="s">
        <v>33</v>
      </c>
      <c r="H251" t="s">
        <v>109</v>
      </c>
      <c r="I251" s="3">
        <v>3785.4</v>
      </c>
      <c r="J251">
        <v>3</v>
      </c>
      <c r="K251" s="5">
        <v>0.1</v>
      </c>
      <c r="L251" s="3">
        <v>900.15</v>
      </c>
      <c r="M251" t="s">
        <v>35</v>
      </c>
      <c r="N251">
        <f t="shared" si="6"/>
        <v>2024</v>
      </c>
      <c r="O251" t="str">
        <f t="shared" si="7"/>
        <v>January</v>
      </c>
    </row>
    <row r="252" spans="1:15" x14ac:dyDescent="0.2">
      <c r="A252" t="s">
        <v>361</v>
      </c>
      <c r="B252" s="7">
        <v>45908</v>
      </c>
      <c r="C252" t="s">
        <v>76</v>
      </c>
      <c r="D252" t="s">
        <v>15</v>
      </c>
      <c r="E252" t="s">
        <v>46</v>
      </c>
      <c r="F252" t="s">
        <v>116</v>
      </c>
      <c r="G252" t="s">
        <v>33</v>
      </c>
      <c r="H252" t="s">
        <v>109</v>
      </c>
      <c r="I252" s="3">
        <v>1275</v>
      </c>
      <c r="J252">
        <v>5</v>
      </c>
      <c r="K252" s="5">
        <v>0</v>
      </c>
      <c r="L252" s="3">
        <v>116.32</v>
      </c>
      <c r="M252" t="s">
        <v>20</v>
      </c>
      <c r="N252">
        <f t="shared" si="6"/>
        <v>2025</v>
      </c>
      <c r="O252" t="str">
        <f t="shared" si="7"/>
        <v>September</v>
      </c>
    </row>
    <row r="253" spans="1:15" x14ac:dyDescent="0.2">
      <c r="A253" t="s">
        <v>362</v>
      </c>
      <c r="B253" s="7">
        <v>45623</v>
      </c>
      <c r="C253" t="s">
        <v>14</v>
      </c>
      <c r="D253" t="s">
        <v>15</v>
      </c>
      <c r="E253" t="s">
        <v>61</v>
      </c>
      <c r="F253" t="s">
        <v>144</v>
      </c>
      <c r="G253" t="s">
        <v>18</v>
      </c>
      <c r="H253" t="s">
        <v>19</v>
      </c>
      <c r="I253" s="3">
        <v>5681</v>
      </c>
      <c r="J253">
        <v>4</v>
      </c>
      <c r="K253" s="5">
        <v>0.05</v>
      </c>
      <c r="L253" s="3">
        <v>1427.39</v>
      </c>
      <c r="M253" t="s">
        <v>20</v>
      </c>
      <c r="N253">
        <f t="shared" si="6"/>
        <v>2024</v>
      </c>
      <c r="O253" t="str">
        <f t="shared" si="7"/>
        <v>November</v>
      </c>
    </row>
    <row r="254" spans="1:15" x14ac:dyDescent="0.2">
      <c r="A254" t="s">
        <v>363</v>
      </c>
      <c r="B254" s="7">
        <v>45636</v>
      </c>
      <c r="C254" t="s">
        <v>68</v>
      </c>
      <c r="D254" t="s">
        <v>23</v>
      </c>
      <c r="E254" t="s">
        <v>172</v>
      </c>
      <c r="F254" t="s">
        <v>173</v>
      </c>
      <c r="G254" t="s">
        <v>33</v>
      </c>
      <c r="H254" t="s">
        <v>128</v>
      </c>
      <c r="I254" s="3">
        <v>327170.09999999998</v>
      </c>
      <c r="J254">
        <v>6</v>
      </c>
      <c r="K254" s="5">
        <v>0.15</v>
      </c>
      <c r="L254" s="3">
        <v>52250.16</v>
      </c>
      <c r="M254" t="s">
        <v>27</v>
      </c>
      <c r="N254">
        <f t="shared" si="6"/>
        <v>2024</v>
      </c>
      <c r="O254" t="str">
        <f t="shared" si="7"/>
        <v>December</v>
      </c>
    </row>
    <row r="255" spans="1:15" x14ac:dyDescent="0.2">
      <c r="A255" t="s">
        <v>364</v>
      </c>
      <c r="B255" s="7">
        <v>45679</v>
      </c>
      <c r="C255" t="s">
        <v>68</v>
      </c>
      <c r="D255" t="s">
        <v>23</v>
      </c>
      <c r="E255" t="s">
        <v>24</v>
      </c>
      <c r="F255" t="s">
        <v>25</v>
      </c>
      <c r="G255" t="s">
        <v>58</v>
      </c>
      <c r="H255" t="s">
        <v>59</v>
      </c>
      <c r="I255" s="3">
        <v>60556.800000000003</v>
      </c>
      <c r="J255">
        <v>6</v>
      </c>
      <c r="K255" s="5">
        <v>0.2</v>
      </c>
      <c r="L255" s="3">
        <v>11680.85</v>
      </c>
      <c r="M255" t="s">
        <v>27</v>
      </c>
      <c r="N255">
        <f t="shared" si="6"/>
        <v>2025</v>
      </c>
      <c r="O255" t="str">
        <f t="shared" si="7"/>
        <v>January</v>
      </c>
    </row>
    <row r="256" spans="1:15" x14ac:dyDescent="0.2">
      <c r="A256" t="s">
        <v>365</v>
      </c>
      <c r="B256" s="7">
        <v>45800</v>
      </c>
      <c r="C256" t="s">
        <v>55</v>
      </c>
      <c r="D256" t="s">
        <v>23</v>
      </c>
      <c r="E256" t="s">
        <v>24</v>
      </c>
      <c r="F256" t="s">
        <v>25</v>
      </c>
      <c r="G256" t="s">
        <v>18</v>
      </c>
      <c r="H256" t="s">
        <v>63</v>
      </c>
      <c r="I256" s="3">
        <v>10505.6</v>
      </c>
      <c r="J256">
        <v>1</v>
      </c>
      <c r="K256" s="5">
        <v>0.2</v>
      </c>
      <c r="L256" s="3">
        <v>533.91999999999996</v>
      </c>
      <c r="M256" t="s">
        <v>27</v>
      </c>
      <c r="N256">
        <f t="shared" si="6"/>
        <v>2025</v>
      </c>
      <c r="O256" t="str">
        <f t="shared" si="7"/>
        <v>May</v>
      </c>
    </row>
    <row r="257" spans="1:15" x14ac:dyDescent="0.2">
      <c r="A257" t="s">
        <v>366</v>
      </c>
      <c r="B257" s="7">
        <v>45506</v>
      </c>
      <c r="C257" t="s">
        <v>76</v>
      </c>
      <c r="D257" t="s">
        <v>15</v>
      </c>
      <c r="E257" t="s">
        <v>16</v>
      </c>
      <c r="F257" t="s">
        <v>204</v>
      </c>
      <c r="G257" t="s">
        <v>33</v>
      </c>
      <c r="H257" t="s">
        <v>34</v>
      </c>
      <c r="I257" s="3">
        <v>3761.25</v>
      </c>
      <c r="J257">
        <v>3</v>
      </c>
      <c r="K257" s="5">
        <v>0.15</v>
      </c>
      <c r="L257" s="3">
        <v>168.43</v>
      </c>
      <c r="M257" t="s">
        <v>20</v>
      </c>
      <c r="N257">
        <f t="shared" si="6"/>
        <v>2024</v>
      </c>
      <c r="O257" t="str">
        <f t="shared" si="7"/>
        <v>August</v>
      </c>
    </row>
    <row r="258" spans="1:15" x14ac:dyDescent="0.2">
      <c r="A258" t="s">
        <v>367</v>
      </c>
      <c r="B258" s="7">
        <v>45679</v>
      </c>
      <c r="C258" t="s">
        <v>45</v>
      </c>
      <c r="D258" t="s">
        <v>30</v>
      </c>
      <c r="E258" t="s">
        <v>104</v>
      </c>
      <c r="F258" t="s">
        <v>105</v>
      </c>
      <c r="G258" t="s">
        <v>18</v>
      </c>
      <c r="H258" t="s">
        <v>70</v>
      </c>
      <c r="I258" s="3">
        <v>86578.45</v>
      </c>
      <c r="J258">
        <v>7</v>
      </c>
      <c r="K258" s="5">
        <v>0.15</v>
      </c>
      <c r="L258" s="3">
        <v>12217.64</v>
      </c>
      <c r="M258" t="s">
        <v>35</v>
      </c>
      <c r="N258">
        <f t="shared" ref="N258:N321" si="8">YEAR(B258)</f>
        <v>2025</v>
      </c>
      <c r="O258" t="str">
        <f t="shared" ref="O258:O321" si="9">TEXT(B258,"mmmm")</f>
        <v>January</v>
      </c>
    </row>
    <row r="259" spans="1:15" x14ac:dyDescent="0.2">
      <c r="A259" t="s">
        <v>368</v>
      </c>
      <c r="B259" s="7">
        <v>45399</v>
      </c>
      <c r="C259" t="s">
        <v>37</v>
      </c>
      <c r="D259" t="s">
        <v>30</v>
      </c>
      <c r="E259" t="s">
        <v>52</v>
      </c>
      <c r="F259" t="s">
        <v>53</v>
      </c>
      <c r="G259" t="s">
        <v>58</v>
      </c>
      <c r="H259" t="s">
        <v>74</v>
      </c>
      <c r="I259" s="3">
        <v>15152</v>
      </c>
      <c r="J259">
        <v>8</v>
      </c>
      <c r="K259" s="5">
        <v>0</v>
      </c>
      <c r="L259" s="3">
        <v>2178</v>
      </c>
      <c r="M259" t="s">
        <v>27</v>
      </c>
      <c r="N259">
        <f t="shared" si="8"/>
        <v>2024</v>
      </c>
      <c r="O259" t="str">
        <f t="shared" si="9"/>
        <v>April</v>
      </c>
    </row>
    <row r="260" spans="1:15" x14ac:dyDescent="0.2">
      <c r="A260" t="s">
        <v>369</v>
      </c>
      <c r="B260" s="7">
        <v>45460</v>
      </c>
      <c r="C260" t="s">
        <v>90</v>
      </c>
      <c r="D260" t="s">
        <v>23</v>
      </c>
      <c r="E260" t="s">
        <v>38</v>
      </c>
      <c r="F260" t="s">
        <v>39</v>
      </c>
      <c r="G260" t="s">
        <v>33</v>
      </c>
      <c r="H260" t="s">
        <v>128</v>
      </c>
      <c r="I260" s="3">
        <v>39689.9</v>
      </c>
      <c r="J260">
        <v>2</v>
      </c>
      <c r="K260" s="5">
        <v>0.15</v>
      </c>
      <c r="L260" s="3">
        <v>9167.91</v>
      </c>
      <c r="M260" t="s">
        <v>49</v>
      </c>
      <c r="N260">
        <f t="shared" si="8"/>
        <v>2024</v>
      </c>
      <c r="O260" t="str">
        <f t="shared" si="9"/>
        <v>June</v>
      </c>
    </row>
    <row r="261" spans="1:15" x14ac:dyDescent="0.2">
      <c r="A261" t="s">
        <v>370</v>
      </c>
      <c r="B261" s="7">
        <v>45342</v>
      </c>
      <c r="C261" t="s">
        <v>22</v>
      </c>
      <c r="D261" t="s">
        <v>23</v>
      </c>
      <c r="E261" t="s">
        <v>82</v>
      </c>
      <c r="F261" t="s">
        <v>265</v>
      </c>
      <c r="G261" t="s">
        <v>18</v>
      </c>
      <c r="H261" t="s">
        <v>19</v>
      </c>
      <c r="I261" s="3">
        <v>100879.2</v>
      </c>
      <c r="J261">
        <v>4</v>
      </c>
      <c r="K261" s="5">
        <v>0.1</v>
      </c>
      <c r="L261" s="3">
        <v>10341.09</v>
      </c>
      <c r="M261" t="s">
        <v>35</v>
      </c>
      <c r="N261">
        <f t="shared" si="8"/>
        <v>2024</v>
      </c>
      <c r="O261" t="str">
        <f t="shared" si="9"/>
        <v>February</v>
      </c>
    </row>
    <row r="262" spans="1:15" x14ac:dyDescent="0.2">
      <c r="A262" t="s">
        <v>371</v>
      </c>
      <c r="B262" s="7">
        <v>45391</v>
      </c>
      <c r="C262" t="s">
        <v>14</v>
      </c>
      <c r="D262" t="s">
        <v>15</v>
      </c>
      <c r="E262" t="s">
        <v>61</v>
      </c>
      <c r="F262" t="s">
        <v>62</v>
      </c>
      <c r="G262" t="s">
        <v>33</v>
      </c>
      <c r="H262" t="s">
        <v>128</v>
      </c>
      <c r="I262" s="3">
        <v>1044.8</v>
      </c>
      <c r="J262">
        <v>1</v>
      </c>
      <c r="K262" s="5">
        <v>0.2</v>
      </c>
      <c r="L262" s="3">
        <v>131.71</v>
      </c>
      <c r="M262" t="s">
        <v>40</v>
      </c>
      <c r="N262">
        <f t="shared" si="8"/>
        <v>2024</v>
      </c>
      <c r="O262" t="str">
        <f t="shared" si="9"/>
        <v>April</v>
      </c>
    </row>
    <row r="263" spans="1:15" x14ac:dyDescent="0.2">
      <c r="A263" t="s">
        <v>372</v>
      </c>
      <c r="B263" s="7">
        <v>45563</v>
      </c>
      <c r="C263" t="s">
        <v>37</v>
      </c>
      <c r="D263" t="s">
        <v>23</v>
      </c>
      <c r="E263" t="s">
        <v>79</v>
      </c>
      <c r="F263" t="s">
        <v>107</v>
      </c>
      <c r="G263" t="s">
        <v>18</v>
      </c>
      <c r="H263" t="s">
        <v>63</v>
      </c>
      <c r="I263" s="3">
        <v>223707.25</v>
      </c>
      <c r="J263">
        <v>5</v>
      </c>
      <c r="K263" s="5">
        <v>0.15</v>
      </c>
      <c r="L263" s="3">
        <v>49545.67</v>
      </c>
      <c r="M263" t="s">
        <v>35</v>
      </c>
      <c r="N263">
        <f t="shared" si="8"/>
        <v>2024</v>
      </c>
      <c r="O263" t="str">
        <f t="shared" si="9"/>
        <v>September</v>
      </c>
    </row>
    <row r="264" spans="1:15" x14ac:dyDescent="0.2">
      <c r="A264" t="s">
        <v>373</v>
      </c>
      <c r="B264" s="7">
        <v>45523</v>
      </c>
      <c r="C264" t="s">
        <v>68</v>
      </c>
      <c r="D264" t="s">
        <v>30</v>
      </c>
      <c r="E264" t="s">
        <v>31</v>
      </c>
      <c r="F264" t="s">
        <v>97</v>
      </c>
      <c r="G264" t="s">
        <v>42</v>
      </c>
      <c r="H264" t="s">
        <v>43</v>
      </c>
      <c r="I264" s="3">
        <v>5768.1</v>
      </c>
      <c r="J264">
        <v>3</v>
      </c>
      <c r="K264" s="5">
        <v>0.15</v>
      </c>
      <c r="L264" s="3">
        <v>781.64</v>
      </c>
      <c r="M264" t="s">
        <v>35</v>
      </c>
      <c r="N264">
        <f t="shared" si="8"/>
        <v>2024</v>
      </c>
      <c r="O264" t="str">
        <f t="shared" si="9"/>
        <v>August</v>
      </c>
    </row>
    <row r="265" spans="1:15" x14ac:dyDescent="0.2">
      <c r="A265" t="s">
        <v>374</v>
      </c>
      <c r="B265" s="7">
        <v>45688</v>
      </c>
      <c r="C265" t="s">
        <v>51</v>
      </c>
      <c r="D265" t="s">
        <v>23</v>
      </c>
      <c r="E265" t="s">
        <v>24</v>
      </c>
      <c r="F265" t="s">
        <v>25</v>
      </c>
      <c r="G265" t="s">
        <v>18</v>
      </c>
      <c r="H265" t="s">
        <v>70</v>
      </c>
      <c r="I265" s="3">
        <v>259987.20000000001</v>
      </c>
      <c r="J265">
        <v>6</v>
      </c>
      <c r="K265" s="5">
        <v>0.2</v>
      </c>
      <c r="L265" s="3">
        <v>10970.61</v>
      </c>
      <c r="M265" t="s">
        <v>49</v>
      </c>
      <c r="N265">
        <f t="shared" si="8"/>
        <v>2025</v>
      </c>
      <c r="O265" t="str">
        <f t="shared" si="9"/>
        <v>January</v>
      </c>
    </row>
    <row r="266" spans="1:15" x14ac:dyDescent="0.2">
      <c r="A266" t="s">
        <v>375</v>
      </c>
      <c r="B266" s="7">
        <v>45877</v>
      </c>
      <c r="C266" t="s">
        <v>90</v>
      </c>
      <c r="D266" t="s">
        <v>15</v>
      </c>
      <c r="E266" t="s">
        <v>61</v>
      </c>
      <c r="F266" t="s">
        <v>62</v>
      </c>
      <c r="G266" t="s">
        <v>33</v>
      </c>
      <c r="H266" t="s">
        <v>109</v>
      </c>
      <c r="I266" s="3">
        <v>3449.6</v>
      </c>
      <c r="J266">
        <v>2</v>
      </c>
      <c r="K266" s="5">
        <v>0.2</v>
      </c>
      <c r="L266" s="3">
        <v>724.73</v>
      </c>
      <c r="M266" t="s">
        <v>40</v>
      </c>
      <c r="N266">
        <f t="shared" si="8"/>
        <v>2025</v>
      </c>
      <c r="O266" t="str">
        <f t="shared" si="9"/>
        <v>August</v>
      </c>
    </row>
    <row r="267" spans="1:15" x14ac:dyDescent="0.2">
      <c r="A267" t="s">
        <v>376</v>
      </c>
      <c r="B267" s="7">
        <v>45737</v>
      </c>
      <c r="C267" t="s">
        <v>76</v>
      </c>
      <c r="D267" t="s">
        <v>23</v>
      </c>
      <c r="E267" t="s">
        <v>38</v>
      </c>
      <c r="F267" t="s">
        <v>140</v>
      </c>
      <c r="G267" t="s">
        <v>33</v>
      </c>
      <c r="H267" t="s">
        <v>48</v>
      </c>
      <c r="I267" s="3">
        <v>37876</v>
      </c>
      <c r="J267">
        <v>4</v>
      </c>
      <c r="K267" s="5">
        <v>0</v>
      </c>
      <c r="L267" s="3">
        <v>10516.5</v>
      </c>
      <c r="M267" t="s">
        <v>40</v>
      </c>
      <c r="N267">
        <f t="shared" si="8"/>
        <v>2025</v>
      </c>
      <c r="O267" t="str">
        <f t="shared" si="9"/>
        <v>March</v>
      </c>
    </row>
    <row r="268" spans="1:15" x14ac:dyDescent="0.2">
      <c r="A268" t="s">
        <v>377</v>
      </c>
      <c r="B268" s="7">
        <v>45824</v>
      </c>
      <c r="C268" t="s">
        <v>29</v>
      </c>
      <c r="D268" t="s">
        <v>15</v>
      </c>
      <c r="E268" t="s">
        <v>65</v>
      </c>
      <c r="F268" t="s">
        <v>147</v>
      </c>
      <c r="G268" t="s">
        <v>42</v>
      </c>
      <c r="H268" t="s">
        <v>102</v>
      </c>
      <c r="I268" s="3">
        <v>14874.3</v>
      </c>
      <c r="J268">
        <v>7</v>
      </c>
      <c r="K268" s="5">
        <v>0.1</v>
      </c>
      <c r="L268" s="3">
        <v>3366.42</v>
      </c>
      <c r="M268" t="s">
        <v>20</v>
      </c>
      <c r="N268">
        <f t="shared" si="8"/>
        <v>2025</v>
      </c>
      <c r="O268" t="str">
        <f t="shared" si="9"/>
        <v>June</v>
      </c>
    </row>
    <row r="269" spans="1:15" x14ac:dyDescent="0.2">
      <c r="A269" t="s">
        <v>378</v>
      </c>
      <c r="B269" s="7">
        <v>45584</v>
      </c>
      <c r="C269" t="s">
        <v>51</v>
      </c>
      <c r="D269" t="s">
        <v>15</v>
      </c>
      <c r="E269" t="s">
        <v>56</v>
      </c>
      <c r="F269" t="s">
        <v>57</v>
      </c>
      <c r="G269" t="s">
        <v>58</v>
      </c>
      <c r="H269" t="s">
        <v>95</v>
      </c>
      <c r="I269" s="3">
        <v>1276.8</v>
      </c>
      <c r="J269">
        <v>3</v>
      </c>
      <c r="K269" s="5">
        <v>0.2</v>
      </c>
      <c r="L269" s="3">
        <v>237.37</v>
      </c>
      <c r="M269" t="s">
        <v>27</v>
      </c>
      <c r="N269">
        <f t="shared" si="8"/>
        <v>2024</v>
      </c>
      <c r="O269" t="str">
        <f t="shared" si="9"/>
        <v>October</v>
      </c>
    </row>
    <row r="270" spans="1:15" x14ac:dyDescent="0.2">
      <c r="A270" t="s">
        <v>379</v>
      </c>
      <c r="B270" s="7">
        <v>45915</v>
      </c>
      <c r="C270" t="s">
        <v>22</v>
      </c>
      <c r="D270" t="s">
        <v>30</v>
      </c>
      <c r="E270" t="s">
        <v>104</v>
      </c>
      <c r="F270" t="s">
        <v>170</v>
      </c>
      <c r="G270" t="s">
        <v>58</v>
      </c>
      <c r="H270" t="s">
        <v>59</v>
      </c>
      <c r="I270" s="3">
        <v>43805.599999999999</v>
      </c>
      <c r="J270">
        <v>8</v>
      </c>
      <c r="K270" s="5">
        <v>0.15</v>
      </c>
      <c r="L270" s="3">
        <v>3122.05</v>
      </c>
      <c r="M270" t="s">
        <v>20</v>
      </c>
      <c r="N270">
        <f t="shared" si="8"/>
        <v>2025</v>
      </c>
      <c r="O270" t="str">
        <f t="shared" si="9"/>
        <v>September</v>
      </c>
    </row>
    <row r="271" spans="1:15" x14ac:dyDescent="0.2">
      <c r="A271" t="s">
        <v>380</v>
      </c>
      <c r="B271" s="7">
        <v>45602</v>
      </c>
      <c r="C271" t="s">
        <v>68</v>
      </c>
      <c r="D271" t="s">
        <v>30</v>
      </c>
      <c r="E271" t="s">
        <v>104</v>
      </c>
      <c r="F271" t="s">
        <v>170</v>
      </c>
      <c r="G271" t="s">
        <v>33</v>
      </c>
      <c r="H271" t="s">
        <v>128</v>
      </c>
      <c r="I271" s="3">
        <v>76800</v>
      </c>
      <c r="J271">
        <v>8</v>
      </c>
      <c r="K271" s="5">
        <v>0</v>
      </c>
      <c r="L271" s="3">
        <v>11333.62</v>
      </c>
      <c r="M271" t="s">
        <v>27</v>
      </c>
      <c r="N271">
        <f t="shared" si="8"/>
        <v>2024</v>
      </c>
      <c r="O271" t="str">
        <f t="shared" si="9"/>
        <v>November</v>
      </c>
    </row>
    <row r="272" spans="1:15" x14ac:dyDescent="0.2">
      <c r="A272" t="s">
        <v>381</v>
      </c>
      <c r="B272" s="7">
        <v>45383</v>
      </c>
      <c r="C272" t="s">
        <v>76</v>
      </c>
      <c r="D272" t="s">
        <v>30</v>
      </c>
      <c r="E272" t="s">
        <v>52</v>
      </c>
      <c r="F272" t="s">
        <v>127</v>
      </c>
      <c r="G272" t="s">
        <v>33</v>
      </c>
      <c r="H272" t="s">
        <v>48</v>
      </c>
      <c r="I272" s="3">
        <v>76935.199999999997</v>
      </c>
      <c r="J272">
        <v>8</v>
      </c>
      <c r="K272" s="5">
        <v>0.15</v>
      </c>
      <c r="L272" s="3">
        <v>12578.58</v>
      </c>
      <c r="M272" t="s">
        <v>49</v>
      </c>
      <c r="N272">
        <f t="shared" si="8"/>
        <v>2024</v>
      </c>
      <c r="O272" t="str">
        <f t="shared" si="9"/>
        <v>April</v>
      </c>
    </row>
    <row r="273" spans="1:15" x14ac:dyDescent="0.2">
      <c r="A273" t="s">
        <v>382</v>
      </c>
      <c r="B273" s="7">
        <v>45828</v>
      </c>
      <c r="C273" t="s">
        <v>90</v>
      </c>
      <c r="D273" t="s">
        <v>23</v>
      </c>
      <c r="E273" t="s">
        <v>38</v>
      </c>
      <c r="F273" t="s">
        <v>140</v>
      </c>
      <c r="G273" t="s">
        <v>58</v>
      </c>
      <c r="H273" t="s">
        <v>84</v>
      </c>
      <c r="I273" s="3">
        <v>14025</v>
      </c>
      <c r="J273">
        <v>3</v>
      </c>
      <c r="K273" s="5">
        <v>0.15</v>
      </c>
      <c r="L273" s="3">
        <v>976.56</v>
      </c>
      <c r="M273" t="s">
        <v>20</v>
      </c>
      <c r="N273">
        <f t="shared" si="8"/>
        <v>2025</v>
      </c>
      <c r="O273" t="str">
        <f t="shared" si="9"/>
        <v>June</v>
      </c>
    </row>
    <row r="274" spans="1:15" x14ac:dyDescent="0.2">
      <c r="A274" t="s">
        <v>383</v>
      </c>
      <c r="B274" s="7">
        <v>45767</v>
      </c>
      <c r="C274" t="s">
        <v>51</v>
      </c>
      <c r="D274" t="s">
        <v>23</v>
      </c>
      <c r="E274" t="s">
        <v>24</v>
      </c>
      <c r="F274" t="s">
        <v>77</v>
      </c>
      <c r="G274" t="s">
        <v>33</v>
      </c>
      <c r="H274" t="s">
        <v>128</v>
      </c>
      <c r="I274" s="3">
        <v>29557.35</v>
      </c>
      <c r="J274">
        <v>1</v>
      </c>
      <c r="K274" s="5">
        <v>0.05</v>
      </c>
      <c r="L274" s="3">
        <v>3614.73</v>
      </c>
      <c r="M274" t="s">
        <v>49</v>
      </c>
      <c r="N274">
        <f t="shared" si="8"/>
        <v>2025</v>
      </c>
      <c r="O274" t="str">
        <f t="shared" si="9"/>
        <v>April</v>
      </c>
    </row>
    <row r="275" spans="1:15" x14ac:dyDescent="0.2">
      <c r="A275" t="s">
        <v>384</v>
      </c>
      <c r="B275" s="7">
        <v>45650</v>
      </c>
      <c r="C275" t="s">
        <v>45</v>
      </c>
      <c r="D275" t="s">
        <v>15</v>
      </c>
      <c r="E275" t="s">
        <v>16</v>
      </c>
      <c r="F275" t="s">
        <v>204</v>
      </c>
      <c r="G275" t="s">
        <v>18</v>
      </c>
      <c r="H275" t="s">
        <v>26</v>
      </c>
      <c r="I275" s="3">
        <v>5623.6</v>
      </c>
      <c r="J275">
        <v>8</v>
      </c>
      <c r="K275" s="5">
        <v>0.15</v>
      </c>
      <c r="L275" s="3">
        <v>899.08</v>
      </c>
      <c r="M275" t="s">
        <v>40</v>
      </c>
      <c r="N275">
        <f t="shared" si="8"/>
        <v>2024</v>
      </c>
      <c r="O275" t="str">
        <f t="shared" si="9"/>
        <v>December</v>
      </c>
    </row>
    <row r="276" spans="1:15" x14ac:dyDescent="0.2">
      <c r="A276" t="s">
        <v>385</v>
      </c>
      <c r="B276" s="7">
        <v>45567</v>
      </c>
      <c r="C276" t="s">
        <v>22</v>
      </c>
      <c r="D276" t="s">
        <v>30</v>
      </c>
      <c r="E276" t="s">
        <v>52</v>
      </c>
      <c r="F276" t="s">
        <v>127</v>
      </c>
      <c r="G276" t="s">
        <v>42</v>
      </c>
      <c r="H276" t="s">
        <v>102</v>
      </c>
      <c r="I276" s="3">
        <v>7430.9</v>
      </c>
      <c r="J276">
        <v>1</v>
      </c>
      <c r="K276" s="5">
        <v>0.05</v>
      </c>
      <c r="L276" s="3">
        <v>1508.76</v>
      </c>
      <c r="M276" t="s">
        <v>35</v>
      </c>
      <c r="N276">
        <f t="shared" si="8"/>
        <v>2024</v>
      </c>
      <c r="O276" t="str">
        <f t="shared" si="9"/>
        <v>October</v>
      </c>
    </row>
    <row r="277" spans="1:15" x14ac:dyDescent="0.2">
      <c r="A277" t="s">
        <v>386</v>
      </c>
      <c r="B277" s="7">
        <v>45604</v>
      </c>
      <c r="C277" t="s">
        <v>68</v>
      </c>
      <c r="D277" t="s">
        <v>23</v>
      </c>
      <c r="E277" t="s">
        <v>82</v>
      </c>
      <c r="F277" t="s">
        <v>240</v>
      </c>
      <c r="G277" t="s">
        <v>58</v>
      </c>
      <c r="H277" t="s">
        <v>74</v>
      </c>
      <c r="I277" s="3">
        <v>109609.2</v>
      </c>
      <c r="J277">
        <v>3</v>
      </c>
      <c r="K277" s="5">
        <v>0.1</v>
      </c>
      <c r="L277" s="3">
        <v>19364.52</v>
      </c>
      <c r="M277" t="s">
        <v>49</v>
      </c>
      <c r="N277">
        <f t="shared" si="8"/>
        <v>2024</v>
      </c>
      <c r="O277" t="str">
        <f t="shared" si="9"/>
        <v>November</v>
      </c>
    </row>
    <row r="278" spans="1:15" x14ac:dyDescent="0.2">
      <c r="A278" t="s">
        <v>387</v>
      </c>
      <c r="B278" s="7">
        <v>45815</v>
      </c>
      <c r="C278" t="s">
        <v>45</v>
      </c>
      <c r="D278" t="s">
        <v>30</v>
      </c>
      <c r="E278" t="s">
        <v>104</v>
      </c>
      <c r="F278" t="s">
        <v>105</v>
      </c>
      <c r="G278" t="s">
        <v>58</v>
      </c>
      <c r="H278" t="s">
        <v>84</v>
      </c>
      <c r="I278" s="3">
        <v>114304</v>
      </c>
      <c r="J278">
        <v>8</v>
      </c>
      <c r="K278" s="5">
        <v>0.2</v>
      </c>
      <c r="L278" s="3">
        <v>5768.06</v>
      </c>
      <c r="M278" t="s">
        <v>35</v>
      </c>
      <c r="N278">
        <f t="shared" si="8"/>
        <v>2025</v>
      </c>
      <c r="O278" t="str">
        <f t="shared" si="9"/>
        <v>June</v>
      </c>
    </row>
    <row r="279" spans="1:15" x14ac:dyDescent="0.2">
      <c r="A279" t="s">
        <v>388</v>
      </c>
      <c r="B279" s="7">
        <v>45575</v>
      </c>
      <c r="C279" t="s">
        <v>68</v>
      </c>
      <c r="D279" t="s">
        <v>15</v>
      </c>
      <c r="E279" t="s">
        <v>56</v>
      </c>
      <c r="F279" t="s">
        <v>100</v>
      </c>
      <c r="G279" t="s">
        <v>42</v>
      </c>
      <c r="H279" t="s">
        <v>119</v>
      </c>
      <c r="I279" s="3">
        <v>2658.6</v>
      </c>
      <c r="J279">
        <v>2</v>
      </c>
      <c r="K279" s="5">
        <v>0.1</v>
      </c>
      <c r="L279" s="3">
        <v>486.84</v>
      </c>
      <c r="M279" t="s">
        <v>27</v>
      </c>
      <c r="N279">
        <f t="shared" si="8"/>
        <v>2024</v>
      </c>
      <c r="O279" t="str">
        <f t="shared" si="9"/>
        <v>October</v>
      </c>
    </row>
    <row r="280" spans="1:15" x14ac:dyDescent="0.2">
      <c r="A280" t="s">
        <v>389</v>
      </c>
      <c r="B280" s="7">
        <v>45594</v>
      </c>
      <c r="C280" t="s">
        <v>68</v>
      </c>
      <c r="D280" t="s">
        <v>23</v>
      </c>
      <c r="E280" t="s">
        <v>24</v>
      </c>
      <c r="F280" t="s">
        <v>25</v>
      </c>
      <c r="G280" t="s">
        <v>33</v>
      </c>
      <c r="H280" t="s">
        <v>128</v>
      </c>
      <c r="I280" s="3">
        <v>311416</v>
      </c>
      <c r="J280">
        <v>7</v>
      </c>
      <c r="K280" s="5">
        <v>0</v>
      </c>
      <c r="L280" s="3">
        <v>65733.72</v>
      </c>
      <c r="M280" t="s">
        <v>49</v>
      </c>
      <c r="N280">
        <f t="shared" si="8"/>
        <v>2024</v>
      </c>
      <c r="O280" t="str">
        <f t="shared" si="9"/>
        <v>October</v>
      </c>
    </row>
    <row r="281" spans="1:15" x14ac:dyDescent="0.2">
      <c r="A281" t="s">
        <v>390</v>
      </c>
      <c r="B281" s="7">
        <v>45466</v>
      </c>
      <c r="C281" t="s">
        <v>51</v>
      </c>
      <c r="D281" t="s">
        <v>30</v>
      </c>
      <c r="E281" t="s">
        <v>122</v>
      </c>
      <c r="F281" t="s">
        <v>160</v>
      </c>
      <c r="G281" t="s">
        <v>18</v>
      </c>
      <c r="H281" t="s">
        <v>26</v>
      </c>
      <c r="I281" s="3">
        <v>52441.599999999999</v>
      </c>
      <c r="J281">
        <v>4</v>
      </c>
      <c r="K281" s="5">
        <v>0.2</v>
      </c>
      <c r="L281" s="3">
        <v>4721.79</v>
      </c>
      <c r="M281" t="s">
        <v>40</v>
      </c>
      <c r="N281">
        <f t="shared" si="8"/>
        <v>2024</v>
      </c>
      <c r="O281" t="str">
        <f t="shared" si="9"/>
        <v>June</v>
      </c>
    </row>
    <row r="282" spans="1:15" x14ac:dyDescent="0.2">
      <c r="A282" t="s">
        <v>391</v>
      </c>
      <c r="B282" s="7">
        <v>45520</v>
      </c>
      <c r="C282" t="s">
        <v>68</v>
      </c>
      <c r="D282" t="s">
        <v>30</v>
      </c>
      <c r="E282" t="s">
        <v>52</v>
      </c>
      <c r="F282" t="s">
        <v>118</v>
      </c>
      <c r="G282" t="s">
        <v>58</v>
      </c>
      <c r="H282" t="s">
        <v>74</v>
      </c>
      <c r="I282" s="3">
        <v>33990</v>
      </c>
      <c r="J282">
        <v>5</v>
      </c>
      <c r="K282" s="5">
        <v>0</v>
      </c>
      <c r="L282" s="3">
        <v>4230.08</v>
      </c>
      <c r="M282" t="s">
        <v>49</v>
      </c>
      <c r="N282">
        <f t="shared" si="8"/>
        <v>2024</v>
      </c>
      <c r="O282" t="str">
        <f t="shared" si="9"/>
        <v>August</v>
      </c>
    </row>
    <row r="283" spans="1:15" x14ac:dyDescent="0.2">
      <c r="A283" t="s">
        <v>392</v>
      </c>
      <c r="B283" s="7">
        <v>45364</v>
      </c>
      <c r="C283" t="s">
        <v>29</v>
      </c>
      <c r="D283" t="s">
        <v>30</v>
      </c>
      <c r="E283" t="s">
        <v>104</v>
      </c>
      <c r="F283" t="s">
        <v>137</v>
      </c>
      <c r="G283" t="s">
        <v>42</v>
      </c>
      <c r="H283" t="s">
        <v>119</v>
      </c>
      <c r="I283" s="3">
        <v>4092.8</v>
      </c>
      <c r="J283">
        <v>2</v>
      </c>
      <c r="K283" s="5">
        <v>0.2</v>
      </c>
      <c r="L283" s="3">
        <v>895.75</v>
      </c>
      <c r="M283" t="s">
        <v>40</v>
      </c>
      <c r="N283">
        <f t="shared" si="8"/>
        <v>2024</v>
      </c>
      <c r="O283" t="str">
        <f t="shared" si="9"/>
        <v>March</v>
      </c>
    </row>
    <row r="284" spans="1:15" x14ac:dyDescent="0.2">
      <c r="A284" t="s">
        <v>393</v>
      </c>
      <c r="B284" s="7">
        <v>45875</v>
      </c>
      <c r="C284" t="s">
        <v>29</v>
      </c>
      <c r="D284" t="s">
        <v>15</v>
      </c>
      <c r="E284" t="s">
        <v>16</v>
      </c>
      <c r="F284" t="s">
        <v>204</v>
      </c>
      <c r="G284" t="s">
        <v>58</v>
      </c>
      <c r="H284" t="s">
        <v>84</v>
      </c>
      <c r="I284" s="3">
        <v>628.9</v>
      </c>
      <c r="J284">
        <v>1</v>
      </c>
      <c r="K284" s="5">
        <v>0.05</v>
      </c>
      <c r="L284" s="3">
        <v>85.55</v>
      </c>
      <c r="M284" t="s">
        <v>40</v>
      </c>
      <c r="N284">
        <f t="shared" si="8"/>
        <v>2025</v>
      </c>
      <c r="O284" t="str">
        <f t="shared" si="9"/>
        <v>August</v>
      </c>
    </row>
    <row r="285" spans="1:15" x14ac:dyDescent="0.2">
      <c r="A285" t="s">
        <v>394</v>
      </c>
      <c r="B285" s="7">
        <v>45464</v>
      </c>
      <c r="C285" t="s">
        <v>90</v>
      </c>
      <c r="D285" t="s">
        <v>30</v>
      </c>
      <c r="E285" t="s">
        <v>31</v>
      </c>
      <c r="F285" t="s">
        <v>97</v>
      </c>
      <c r="G285" t="s">
        <v>18</v>
      </c>
      <c r="H285" t="s">
        <v>63</v>
      </c>
      <c r="I285" s="3">
        <v>6885</v>
      </c>
      <c r="J285">
        <v>3</v>
      </c>
      <c r="K285" s="5">
        <v>0.15</v>
      </c>
      <c r="L285" s="3">
        <v>669.26</v>
      </c>
      <c r="M285" t="s">
        <v>40</v>
      </c>
      <c r="N285">
        <f t="shared" si="8"/>
        <v>2024</v>
      </c>
      <c r="O285" t="str">
        <f t="shared" si="9"/>
        <v>June</v>
      </c>
    </row>
    <row r="286" spans="1:15" x14ac:dyDescent="0.2">
      <c r="A286" t="s">
        <v>395</v>
      </c>
      <c r="B286" s="7">
        <v>45838</v>
      </c>
      <c r="C286" t="s">
        <v>76</v>
      </c>
      <c r="D286" t="s">
        <v>30</v>
      </c>
      <c r="E286" t="s">
        <v>52</v>
      </c>
      <c r="F286" t="s">
        <v>118</v>
      </c>
      <c r="G286" t="s">
        <v>33</v>
      </c>
      <c r="H286" t="s">
        <v>109</v>
      </c>
      <c r="I286" s="3">
        <v>88405.1</v>
      </c>
      <c r="J286">
        <v>7</v>
      </c>
      <c r="K286" s="5">
        <v>0.15</v>
      </c>
      <c r="L286" s="3">
        <v>3839.77</v>
      </c>
      <c r="M286" t="s">
        <v>27</v>
      </c>
      <c r="N286">
        <f t="shared" si="8"/>
        <v>2025</v>
      </c>
      <c r="O286" t="str">
        <f t="shared" si="9"/>
        <v>June</v>
      </c>
    </row>
    <row r="287" spans="1:15" x14ac:dyDescent="0.2">
      <c r="A287" t="s">
        <v>396</v>
      </c>
      <c r="B287" s="7">
        <v>45397</v>
      </c>
      <c r="C287" t="s">
        <v>22</v>
      </c>
      <c r="D287" t="s">
        <v>23</v>
      </c>
      <c r="E287" t="s">
        <v>79</v>
      </c>
      <c r="F287" t="s">
        <v>93</v>
      </c>
      <c r="G287" t="s">
        <v>33</v>
      </c>
      <c r="H287" t="s">
        <v>128</v>
      </c>
      <c r="I287" s="3">
        <v>38043</v>
      </c>
      <c r="J287">
        <v>1</v>
      </c>
      <c r="K287" s="5">
        <v>0.1</v>
      </c>
      <c r="L287" s="3">
        <v>4466.95</v>
      </c>
      <c r="M287" t="s">
        <v>35</v>
      </c>
      <c r="N287">
        <f t="shared" si="8"/>
        <v>2024</v>
      </c>
      <c r="O287" t="str">
        <f t="shared" si="9"/>
        <v>April</v>
      </c>
    </row>
    <row r="288" spans="1:15" x14ac:dyDescent="0.2">
      <c r="A288" t="s">
        <v>397</v>
      </c>
      <c r="B288" s="7">
        <v>45637</v>
      </c>
      <c r="C288" t="s">
        <v>22</v>
      </c>
      <c r="D288" t="s">
        <v>15</v>
      </c>
      <c r="E288" t="s">
        <v>65</v>
      </c>
      <c r="F288" t="s">
        <v>147</v>
      </c>
      <c r="G288" t="s">
        <v>33</v>
      </c>
      <c r="H288" t="s">
        <v>128</v>
      </c>
      <c r="I288" s="3">
        <v>7868</v>
      </c>
      <c r="J288">
        <v>5</v>
      </c>
      <c r="K288" s="5">
        <v>0.2</v>
      </c>
      <c r="L288" s="3">
        <v>1174.49</v>
      </c>
      <c r="M288" t="s">
        <v>40</v>
      </c>
      <c r="N288">
        <f t="shared" si="8"/>
        <v>2024</v>
      </c>
      <c r="O288" t="str">
        <f t="shared" si="9"/>
        <v>December</v>
      </c>
    </row>
    <row r="289" spans="1:15" x14ac:dyDescent="0.2">
      <c r="A289" t="s">
        <v>398</v>
      </c>
      <c r="B289" s="7">
        <v>45314</v>
      </c>
      <c r="C289" t="s">
        <v>90</v>
      </c>
      <c r="D289" t="s">
        <v>30</v>
      </c>
      <c r="E289" t="s">
        <v>122</v>
      </c>
      <c r="F289" t="s">
        <v>131</v>
      </c>
      <c r="G289" t="s">
        <v>42</v>
      </c>
      <c r="H289" t="s">
        <v>98</v>
      </c>
      <c r="I289" s="3">
        <v>55088.6</v>
      </c>
      <c r="J289">
        <v>7</v>
      </c>
      <c r="K289" s="5">
        <v>0.05</v>
      </c>
      <c r="L289" s="3">
        <v>6045.32</v>
      </c>
      <c r="M289" t="s">
        <v>35</v>
      </c>
      <c r="N289">
        <f t="shared" si="8"/>
        <v>2024</v>
      </c>
      <c r="O289" t="str">
        <f t="shared" si="9"/>
        <v>January</v>
      </c>
    </row>
    <row r="290" spans="1:15" x14ac:dyDescent="0.2">
      <c r="A290" t="s">
        <v>399</v>
      </c>
      <c r="B290" s="7">
        <v>45312</v>
      </c>
      <c r="C290" t="s">
        <v>14</v>
      </c>
      <c r="D290" t="s">
        <v>23</v>
      </c>
      <c r="E290" t="s">
        <v>82</v>
      </c>
      <c r="F290" t="s">
        <v>83</v>
      </c>
      <c r="G290" t="s">
        <v>42</v>
      </c>
      <c r="H290" t="s">
        <v>102</v>
      </c>
      <c r="I290" s="3">
        <v>258720</v>
      </c>
      <c r="J290">
        <v>5</v>
      </c>
      <c r="K290" s="5">
        <v>0</v>
      </c>
      <c r="L290" s="3">
        <v>54515.8</v>
      </c>
      <c r="M290" t="s">
        <v>20</v>
      </c>
      <c r="N290">
        <f t="shared" si="8"/>
        <v>2024</v>
      </c>
      <c r="O290" t="str">
        <f t="shared" si="9"/>
        <v>January</v>
      </c>
    </row>
    <row r="291" spans="1:15" x14ac:dyDescent="0.2">
      <c r="A291" t="s">
        <v>400</v>
      </c>
      <c r="B291" s="7">
        <v>45969</v>
      </c>
      <c r="C291" t="s">
        <v>37</v>
      </c>
      <c r="D291" t="s">
        <v>30</v>
      </c>
      <c r="E291" t="s">
        <v>122</v>
      </c>
      <c r="F291" t="s">
        <v>123</v>
      </c>
      <c r="G291" t="s">
        <v>58</v>
      </c>
      <c r="H291" t="s">
        <v>95</v>
      </c>
      <c r="I291" s="3">
        <v>29085</v>
      </c>
      <c r="J291">
        <v>5</v>
      </c>
      <c r="K291" s="5">
        <v>0</v>
      </c>
      <c r="L291" s="3">
        <v>4078.39</v>
      </c>
      <c r="M291" t="s">
        <v>35</v>
      </c>
      <c r="N291">
        <f t="shared" si="8"/>
        <v>2025</v>
      </c>
      <c r="O291" t="str">
        <f t="shared" si="9"/>
        <v>November</v>
      </c>
    </row>
    <row r="292" spans="1:15" x14ac:dyDescent="0.2">
      <c r="A292" t="s">
        <v>401</v>
      </c>
      <c r="B292" s="7">
        <v>45496</v>
      </c>
      <c r="C292" t="s">
        <v>68</v>
      </c>
      <c r="D292" t="s">
        <v>30</v>
      </c>
      <c r="E292" t="s">
        <v>72</v>
      </c>
      <c r="F292" t="s">
        <v>217</v>
      </c>
      <c r="G292" t="s">
        <v>33</v>
      </c>
      <c r="H292" t="s">
        <v>109</v>
      </c>
      <c r="I292" s="3">
        <v>7709.5</v>
      </c>
      <c r="J292">
        <v>2</v>
      </c>
      <c r="K292" s="5">
        <v>0.15</v>
      </c>
      <c r="L292" s="3">
        <v>633.95000000000005</v>
      </c>
      <c r="M292" t="s">
        <v>35</v>
      </c>
      <c r="N292">
        <f t="shared" si="8"/>
        <v>2024</v>
      </c>
      <c r="O292" t="str">
        <f t="shared" si="9"/>
        <v>July</v>
      </c>
    </row>
    <row r="293" spans="1:15" x14ac:dyDescent="0.2">
      <c r="A293" t="s">
        <v>402</v>
      </c>
      <c r="B293" s="7">
        <v>45294</v>
      </c>
      <c r="C293" t="s">
        <v>14</v>
      </c>
      <c r="D293" t="s">
        <v>23</v>
      </c>
      <c r="E293" t="s">
        <v>79</v>
      </c>
      <c r="F293" t="s">
        <v>107</v>
      </c>
      <c r="G293" t="s">
        <v>58</v>
      </c>
      <c r="H293" t="s">
        <v>84</v>
      </c>
      <c r="I293" s="3">
        <v>31553.7</v>
      </c>
      <c r="J293">
        <v>1</v>
      </c>
      <c r="K293" s="5">
        <v>0.15</v>
      </c>
      <c r="L293" s="3">
        <v>3427.39</v>
      </c>
      <c r="M293" t="s">
        <v>20</v>
      </c>
      <c r="N293">
        <f t="shared" si="8"/>
        <v>2024</v>
      </c>
      <c r="O293" t="str">
        <f t="shared" si="9"/>
        <v>January</v>
      </c>
    </row>
    <row r="294" spans="1:15" x14ac:dyDescent="0.2">
      <c r="A294" t="s">
        <v>403</v>
      </c>
      <c r="B294" s="7">
        <v>45595</v>
      </c>
      <c r="C294" t="s">
        <v>68</v>
      </c>
      <c r="D294" t="s">
        <v>23</v>
      </c>
      <c r="E294" t="s">
        <v>172</v>
      </c>
      <c r="F294" t="s">
        <v>182</v>
      </c>
      <c r="G294" t="s">
        <v>58</v>
      </c>
      <c r="H294" t="s">
        <v>74</v>
      </c>
      <c r="I294" s="3">
        <v>92376.1</v>
      </c>
      <c r="J294">
        <v>2</v>
      </c>
      <c r="K294" s="5">
        <v>0.05</v>
      </c>
      <c r="L294" s="3">
        <v>14673.97</v>
      </c>
      <c r="M294" t="s">
        <v>49</v>
      </c>
      <c r="N294">
        <f t="shared" si="8"/>
        <v>2024</v>
      </c>
      <c r="O294" t="str">
        <f t="shared" si="9"/>
        <v>October</v>
      </c>
    </row>
    <row r="295" spans="1:15" x14ac:dyDescent="0.2">
      <c r="A295" t="s">
        <v>404</v>
      </c>
      <c r="B295" s="7">
        <v>45338</v>
      </c>
      <c r="C295" t="s">
        <v>14</v>
      </c>
      <c r="D295" t="s">
        <v>23</v>
      </c>
      <c r="E295" t="s">
        <v>82</v>
      </c>
      <c r="F295" t="s">
        <v>83</v>
      </c>
      <c r="G295" t="s">
        <v>33</v>
      </c>
      <c r="H295" t="s">
        <v>128</v>
      </c>
      <c r="I295" s="3">
        <v>322398</v>
      </c>
      <c r="J295">
        <v>6</v>
      </c>
      <c r="K295" s="5">
        <v>0</v>
      </c>
      <c r="L295" s="3">
        <v>31917.3</v>
      </c>
      <c r="M295" t="s">
        <v>40</v>
      </c>
      <c r="N295">
        <f t="shared" si="8"/>
        <v>2024</v>
      </c>
      <c r="O295" t="str">
        <f t="shared" si="9"/>
        <v>February</v>
      </c>
    </row>
    <row r="296" spans="1:15" x14ac:dyDescent="0.2">
      <c r="A296" t="s">
        <v>405</v>
      </c>
      <c r="B296" s="7">
        <v>45702</v>
      </c>
      <c r="C296" t="s">
        <v>22</v>
      </c>
      <c r="D296" t="s">
        <v>15</v>
      </c>
      <c r="E296" t="s">
        <v>46</v>
      </c>
      <c r="F296" t="s">
        <v>47</v>
      </c>
      <c r="G296" t="s">
        <v>42</v>
      </c>
      <c r="H296" t="s">
        <v>119</v>
      </c>
      <c r="I296" s="3">
        <v>7317</v>
      </c>
      <c r="J296">
        <v>5</v>
      </c>
      <c r="K296" s="5">
        <v>0.1</v>
      </c>
      <c r="L296" s="3">
        <v>670.05</v>
      </c>
      <c r="M296" t="s">
        <v>49</v>
      </c>
      <c r="N296">
        <f t="shared" si="8"/>
        <v>2025</v>
      </c>
      <c r="O296" t="str">
        <f t="shared" si="9"/>
        <v>February</v>
      </c>
    </row>
    <row r="297" spans="1:15" x14ac:dyDescent="0.2">
      <c r="A297" t="s">
        <v>406</v>
      </c>
      <c r="B297" s="7">
        <v>45896</v>
      </c>
      <c r="C297" t="s">
        <v>29</v>
      </c>
      <c r="D297" t="s">
        <v>30</v>
      </c>
      <c r="E297" t="s">
        <v>122</v>
      </c>
      <c r="F297" t="s">
        <v>123</v>
      </c>
      <c r="G297" t="s">
        <v>58</v>
      </c>
      <c r="H297" t="s">
        <v>59</v>
      </c>
      <c r="I297" s="3">
        <v>14654.7</v>
      </c>
      <c r="J297">
        <v>3</v>
      </c>
      <c r="K297" s="5">
        <v>0.05</v>
      </c>
      <c r="L297" s="3">
        <v>1293.17</v>
      </c>
      <c r="M297" t="s">
        <v>35</v>
      </c>
      <c r="N297">
        <f t="shared" si="8"/>
        <v>2025</v>
      </c>
      <c r="O297" t="str">
        <f t="shared" si="9"/>
        <v>August</v>
      </c>
    </row>
    <row r="298" spans="1:15" x14ac:dyDescent="0.2">
      <c r="A298" t="s">
        <v>407</v>
      </c>
      <c r="B298" s="7">
        <v>45713</v>
      </c>
      <c r="C298" t="s">
        <v>29</v>
      </c>
      <c r="D298" t="s">
        <v>15</v>
      </c>
      <c r="E298" t="s">
        <v>61</v>
      </c>
      <c r="F298" t="s">
        <v>62</v>
      </c>
      <c r="G298" t="s">
        <v>33</v>
      </c>
      <c r="H298" t="s">
        <v>109</v>
      </c>
      <c r="I298" s="3">
        <v>1766.3</v>
      </c>
      <c r="J298">
        <v>1</v>
      </c>
      <c r="K298" s="5">
        <v>0.15</v>
      </c>
      <c r="L298" s="3">
        <v>114.96</v>
      </c>
      <c r="M298" t="s">
        <v>20</v>
      </c>
      <c r="N298">
        <f t="shared" si="8"/>
        <v>2025</v>
      </c>
      <c r="O298" t="str">
        <f t="shared" si="9"/>
        <v>February</v>
      </c>
    </row>
    <row r="299" spans="1:15" x14ac:dyDescent="0.2">
      <c r="A299" t="s">
        <v>408</v>
      </c>
      <c r="B299" s="7">
        <v>45925</v>
      </c>
      <c r="C299" t="s">
        <v>37</v>
      </c>
      <c r="D299" t="s">
        <v>23</v>
      </c>
      <c r="E299" t="s">
        <v>79</v>
      </c>
      <c r="F299" t="s">
        <v>93</v>
      </c>
      <c r="G299" t="s">
        <v>42</v>
      </c>
      <c r="H299" t="s">
        <v>102</v>
      </c>
      <c r="I299" s="3">
        <v>204275.20000000001</v>
      </c>
      <c r="J299">
        <v>4</v>
      </c>
      <c r="K299" s="5">
        <v>0.2</v>
      </c>
      <c r="L299" s="3">
        <v>34246.400000000001</v>
      </c>
      <c r="M299" t="s">
        <v>49</v>
      </c>
      <c r="N299">
        <f t="shared" si="8"/>
        <v>2025</v>
      </c>
      <c r="O299" t="str">
        <f t="shared" si="9"/>
        <v>September</v>
      </c>
    </row>
    <row r="300" spans="1:15" x14ac:dyDescent="0.2">
      <c r="A300" t="s">
        <v>409</v>
      </c>
      <c r="B300" s="7">
        <v>45772</v>
      </c>
      <c r="C300" t="s">
        <v>29</v>
      </c>
      <c r="D300" t="s">
        <v>15</v>
      </c>
      <c r="E300" t="s">
        <v>46</v>
      </c>
      <c r="F300" t="s">
        <v>116</v>
      </c>
      <c r="G300" t="s">
        <v>58</v>
      </c>
      <c r="H300" t="s">
        <v>84</v>
      </c>
      <c r="I300" s="3">
        <v>977.55</v>
      </c>
      <c r="J300">
        <v>7</v>
      </c>
      <c r="K300" s="5">
        <v>0.05</v>
      </c>
      <c r="L300" s="3">
        <v>164.83</v>
      </c>
      <c r="M300" t="s">
        <v>40</v>
      </c>
      <c r="N300">
        <f t="shared" si="8"/>
        <v>2025</v>
      </c>
      <c r="O300" t="str">
        <f t="shared" si="9"/>
        <v>April</v>
      </c>
    </row>
    <row r="301" spans="1:15" x14ac:dyDescent="0.2">
      <c r="A301" t="s">
        <v>410</v>
      </c>
      <c r="B301" s="7">
        <v>45704</v>
      </c>
      <c r="C301" t="s">
        <v>76</v>
      </c>
      <c r="D301" t="s">
        <v>23</v>
      </c>
      <c r="E301" t="s">
        <v>38</v>
      </c>
      <c r="F301" t="s">
        <v>91</v>
      </c>
      <c r="G301" t="s">
        <v>42</v>
      </c>
      <c r="H301" t="s">
        <v>98</v>
      </c>
      <c r="I301" s="3">
        <v>17996</v>
      </c>
      <c r="J301">
        <v>5</v>
      </c>
      <c r="K301" s="5">
        <v>0.2</v>
      </c>
      <c r="L301" s="3">
        <v>2855.31</v>
      </c>
      <c r="M301" t="s">
        <v>20</v>
      </c>
      <c r="N301">
        <f t="shared" si="8"/>
        <v>2025</v>
      </c>
      <c r="O301" t="str">
        <f t="shared" si="9"/>
        <v>February</v>
      </c>
    </row>
    <row r="302" spans="1:15" x14ac:dyDescent="0.2">
      <c r="A302" t="s">
        <v>411</v>
      </c>
      <c r="B302" s="7">
        <v>45714</v>
      </c>
      <c r="C302" t="s">
        <v>14</v>
      </c>
      <c r="D302" t="s">
        <v>30</v>
      </c>
      <c r="E302" t="s">
        <v>122</v>
      </c>
      <c r="F302" t="s">
        <v>160</v>
      </c>
      <c r="G302" t="s">
        <v>58</v>
      </c>
      <c r="H302" t="s">
        <v>95</v>
      </c>
      <c r="I302" s="3">
        <v>37512</v>
      </c>
      <c r="J302">
        <v>8</v>
      </c>
      <c r="K302" s="5">
        <v>0</v>
      </c>
      <c r="L302" s="3">
        <v>3771.03</v>
      </c>
      <c r="M302" t="s">
        <v>35</v>
      </c>
      <c r="N302">
        <f t="shared" si="8"/>
        <v>2025</v>
      </c>
      <c r="O302" t="str">
        <f t="shared" si="9"/>
        <v>February</v>
      </c>
    </row>
    <row r="303" spans="1:15" x14ac:dyDescent="0.2">
      <c r="A303" t="s">
        <v>412</v>
      </c>
      <c r="B303" s="7">
        <v>45520</v>
      </c>
      <c r="C303" t="s">
        <v>29</v>
      </c>
      <c r="D303" t="s">
        <v>15</v>
      </c>
      <c r="E303" t="s">
        <v>16</v>
      </c>
      <c r="F303" t="s">
        <v>230</v>
      </c>
      <c r="G303" t="s">
        <v>18</v>
      </c>
      <c r="H303" t="s">
        <v>19</v>
      </c>
      <c r="I303" s="3">
        <v>5385.6</v>
      </c>
      <c r="J303">
        <v>4</v>
      </c>
      <c r="K303" s="5">
        <v>0.1</v>
      </c>
      <c r="L303" s="3">
        <v>1185.17</v>
      </c>
      <c r="M303" t="s">
        <v>27</v>
      </c>
      <c r="N303">
        <f t="shared" si="8"/>
        <v>2024</v>
      </c>
      <c r="O303" t="str">
        <f t="shared" si="9"/>
        <v>August</v>
      </c>
    </row>
    <row r="304" spans="1:15" x14ac:dyDescent="0.2">
      <c r="A304" t="s">
        <v>413</v>
      </c>
      <c r="B304" s="7">
        <v>45940</v>
      </c>
      <c r="C304" t="s">
        <v>68</v>
      </c>
      <c r="D304" t="s">
        <v>15</v>
      </c>
      <c r="E304" t="s">
        <v>56</v>
      </c>
      <c r="F304" t="s">
        <v>100</v>
      </c>
      <c r="G304" t="s">
        <v>58</v>
      </c>
      <c r="H304" t="s">
        <v>84</v>
      </c>
      <c r="I304" s="3">
        <v>8064</v>
      </c>
      <c r="J304">
        <v>8</v>
      </c>
      <c r="K304" s="5">
        <v>0</v>
      </c>
      <c r="L304" s="3">
        <v>1195.6600000000001</v>
      </c>
      <c r="M304" t="s">
        <v>35</v>
      </c>
      <c r="N304">
        <f t="shared" si="8"/>
        <v>2025</v>
      </c>
      <c r="O304" t="str">
        <f t="shared" si="9"/>
        <v>October</v>
      </c>
    </row>
    <row r="305" spans="1:15" x14ac:dyDescent="0.2">
      <c r="A305" t="s">
        <v>414</v>
      </c>
      <c r="B305" s="7">
        <v>45484</v>
      </c>
      <c r="C305" t="s">
        <v>37</v>
      </c>
      <c r="D305" t="s">
        <v>15</v>
      </c>
      <c r="E305" t="s">
        <v>65</v>
      </c>
      <c r="F305" t="s">
        <v>147</v>
      </c>
      <c r="G305" t="s">
        <v>18</v>
      </c>
      <c r="H305" t="s">
        <v>70</v>
      </c>
      <c r="I305" s="3">
        <v>3873.6</v>
      </c>
      <c r="J305">
        <v>8</v>
      </c>
      <c r="K305" s="5">
        <v>0.1</v>
      </c>
      <c r="L305" s="3">
        <v>686.29</v>
      </c>
      <c r="M305" t="s">
        <v>49</v>
      </c>
      <c r="N305">
        <f t="shared" si="8"/>
        <v>2024</v>
      </c>
      <c r="O305" t="str">
        <f t="shared" si="9"/>
        <v>July</v>
      </c>
    </row>
    <row r="306" spans="1:15" x14ac:dyDescent="0.2">
      <c r="A306" t="s">
        <v>415</v>
      </c>
      <c r="B306" s="7">
        <v>45808</v>
      </c>
      <c r="C306" t="s">
        <v>55</v>
      </c>
      <c r="D306" t="s">
        <v>23</v>
      </c>
      <c r="E306" t="s">
        <v>38</v>
      </c>
      <c r="F306" t="s">
        <v>140</v>
      </c>
      <c r="G306" t="s">
        <v>33</v>
      </c>
      <c r="H306" t="s">
        <v>34</v>
      </c>
      <c r="I306" s="3">
        <v>25269.65</v>
      </c>
      <c r="J306">
        <v>7</v>
      </c>
      <c r="K306" s="5">
        <v>0.15</v>
      </c>
      <c r="L306" s="3">
        <v>4401.75</v>
      </c>
      <c r="M306" t="s">
        <v>49</v>
      </c>
      <c r="N306">
        <f t="shared" si="8"/>
        <v>2025</v>
      </c>
      <c r="O306" t="str">
        <f t="shared" si="9"/>
        <v>May</v>
      </c>
    </row>
    <row r="307" spans="1:15" x14ac:dyDescent="0.2">
      <c r="A307" t="s">
        <v>416</v>
      </c>
      <c r="B307" s="7">
        <v>45423</v>
      </c>
      <c r="C307" t="s">
        <v>37</v>
      </c>
      <c r="D307" t="s">
        <v>23</v>
      </c>
      <c r="E307" t="s">
        <v>172</v>
      </c>
      <c r="F307" t="s">
        <v>173</v>
      </c>
      <c r="G307" t="s">
        <v>18</v>
      </c>
      <c r="H307" t="s">
        <v>63</v>
      </c>
      <c r="I307" s="3">
        <v>395385.59999999998</v>
      </c>
      <c r="J307">
        <v>8</v>
      </c>
      <c r="K307" s="5">
        <v>0.2</v>
      </c>
      <c r="L307" s="3">
        <v>25593.33</v>
      </c>
      <c r="M307" t="s">
        <v>49</v>
      </c>
      <c r="N307">
        <f t="shared" si="8"/>
        <v>2024</v>
      </c>
      <c r="O307" t="str">
        <f t="shared" si="9"/>
        <v>May</v>
      </c>
    </row>
    <row r="308" spans="1:15" x14ac:dyDescent="0.2">
      <c r="A308" t="s">
        <v>417</v>
      </c>
      <c r="B308" s="7">
        <v>45428</v>
      </c>
      <c r="C308" t="s">
        <v>55</v>
      </c>
      <c r="D308" t="s">
        <v>15</v>
      </c>
      <c r="E308" t="s">
        <v>56</v>
      </c>
      <c r="F308" t="s">
        <v>57</v>
      </c>
      <c r="G308" t="s">
        <v>42</v>
      </c>
      <c r="H308" t="s">
        <v>43</v>
      </c>
      <c r="I308" s="3">
        <v>5414.4</v>
      </c>
      <c r="J308">
        <v>4</v>
      </c>
      <c r="K308" s="5">
        <v>0.1</v>
      </c>
      <c r="L308" s="3">
        <v>788.17</v>
      </c>
      <c r="M308" t="s">
        <v>49</v>
      </c>
      <c r="N308">
        <f t="shared" si="8"/>
        <v>2024</v>
      </c>
      <c r="O308" t="str">
        <f t="shared" si="9"/>
        <v>May</v>
      </c>
    </row>
    <row r="309" spans="1:15" x14ac:dyDescent="0.2">
      <c r="A309" t="s">
        <v>418</v>
      </c>
      <c r="B309" s="7">
        <v>45427</v>
      </c>
      <c r="C309" t="s">
        <v>55</v>
      </c>
      <c r="D309" t="s">
        <v>15</v>
      </c>
      <c r="E309" t="s">
        <v>56</v>
      </c>
      <c r="F309" t="s">
        <v>100</v>
      </c>
      <c r="G309" t="s">
        <v>42</v>
      </c>
      <c r="H309" t="s">
        <v>119</v>
      </c>
      <c r="I309" s="3">
        <v>4644</v>
      </c>
      <c r="J309">
        <v>4</v>
      </c>
      <c r="K309" s="5">
        <v>0.1</v>
      </c>
      <c r="L309" s="3">
        <v>1111.02</v>
      </c>
      <c r="M309" t="s">
        <v>35</v>
      </c>
      <c r="N309">
        <f t="shared" si="8"/>
        <v>2024</v>
      </c>
      <c r="O309" t="str">
        <f t="shared" si="9"/>
        <v>May</v>
      </c>
    </row>
    <row r="310" spans="1:15" x14ac:dyDescent="0.2">
      <c r="A310" t="s">
        <v>419</v>
      </c>
      <c r="B310" s="7">
        <v>45724</v>
      </c>
      <c r="C310" t="s">
        <v>14</v>
      </c>
      <c r="D310" t="s">
        <v>15</v>
      </c>
      <c r="E310" t="s">
        <v>65</v>
      </c>
      <c r="F310" t="s">
        <v>222</v>
      </c>
      <c r="G310" t="s">
        <v>18</v>
      </c>
      <c r="H310" t="s">
        <v>19</v>
      </c>
      <c r="I310" s="3">
        <v>16459.2</v>
      </c>
      <c r="J310">
        <v>8</v>
      </c>
      <c r="K310" s="5">
        <v>0.1</v>
      </c>
      <c r="L310" s="3">
        <v>3793.77</v>
      </c>
      <c r="M310" t="s">
        <v>35</v>
      </c>
      <c r="N310">
        <f t="shared" si="8"/>
        <v>2025</v>
      </c>
      <c r="O310" t="str">
        <f t="shared" si="9"/>
        <v>March</v>
      </c>
    </row>
    <row r="311" spans="1:15" x14ac:dyDescent="0.2">
      <c r="A311" t="s">
        <v>420</v>
      </c>
      <c r="B311" s="7">
        <v>45441</v>
      </c>
      <c r="C311" t="s">
        <v>14</v>
      </c>
      <c r="D311" t="s">
        <v>23</v>
      </c>
      <c r="E311" t="s">
        <v>82</v>
      </c>
      <c r="F311" t="s">
        <v>265</v>
      </c>
      <c r="G311" t="s">
        <v>58</v>
      </c>
      <c r="H311" t="s">
        <v>74</v>
      </c>
      <c r="I311" s="3">
        <v>12870</v>
      </c>
      <c r="J311">
        <v>1</v>
      </c>
      <c r="K311" s="5">
        <v>0.1</v>
      </c>
      <c r="L311" s="3">
        <v>2466.9</v>
      </c>
      <c r="M311" t="s">
        <v>27</v>
      </c>
      <c r="N311">
        <f t="shared" si="8"/>
        <v>2024</v>
      </c>
      <c r="O311" t="str">
        <f t="shared" si="9"/>
        <v>May</v>
      </c>
    </row>
    <row r="312" spans="1:15" x14ac:dyDescent="0.2">
      <c r="A312" t="s">
        <v>421</v>
      </c>
      <c r="B312" s="7">
        <v>46004</v>
      </c>
      <c r="C312" t="s">
        <v>68</v>
      </c>
      <c r="D312" t="s">
        <v>23</v>
      </c>
      <c r="E312" t="s">
        <v>172</v>
      </c>
      <c r="F312" t="s">
        <v>210</v>
      </c>
      <c r="G312" t="s">
        <v>18</v>
      </c>
      <c r="H312" t="s">
        <v>19</v>
      </c>
      <c r="I312" s="3">
        <v>70680.899999999994</v>
      </c>
      <c r="J312">
        <v>2</v>
      </c>
      <c r="K312" s="5">
        <v>0.15</v>
      </c>
      <c r="L312" s="3">
        <v>6362.63</v>
      </c>
      <c r="M312" t="s">
        <v>20</v>
      </c>
      <c r="N312">
        <f t="shared" si="8"/>
        <v>2025</v>
      </c>
      <c r="O312" t="str">
        <f t="shared" si="9"/>
        <v>December</v>
      </c>
    </row>
    <row r="313" spans="1:15" x14ac:dyDescent="0.2">
      <c r="A313" t="s">
        <v>422</v>
      </c>
      <c r="B313" s="7">
        <v>45745</v>
      </c>
      <c r="C313" t="s">
        <v>76</v>
      </c>
      <c r="D313" t="s">
        <v>30</v>
      </c>
      <c r="E313" t="s">
        <v>122</v>
      </c>
      <c r="F313" t="s">
        <v>123</v>
      </c>
      <c r="G313" t="s">
        <v>58</v>
      </c>
      <c r="H313" t="s">
        <v>84</v>
      </c>
      <c r="I313" s="3">
        <v>7228</v>
      </c>
      <c r="J313">
        <v>1</v>
      </c>
      <c r="K313" s="5">
        <v>0.2</v>
      </c>
      <c r="L313" s="3">
        <v>1472.85</v>
      </c>
      <c r="M313" t="s">
        <v>27</v>
      </c>
      <c r="N313">
        <f t="shared" si="8"/>
        <v>2025</v>
      </c>
      <c r="O313" t="str">
        <f t="shared" si="9"/>
        <v>March</v>
      </c>
    </row>
    <row r="314" spans="1:15" x14ac:dyDescent="0.2">
      <c r="A314" t="s">
        <v>423</v>
      </c>
      <c r="B314" s="7">
        <v>45414</v>
      </c>
      <c r="C314" t="s">
        <v>22</v>
      </c>
      <c r="D314" t="s">
        <v>15</v>
      </c>
      <c r="E314" t="s">
        <v>56</v>
      </c>
      <c r="F314" t="s">
        <v>57</v>
      </c>
      <c r="G314" t="s">
        <v>33</v>
      </c>
      <c r="H314" t="s">
        <v>48</v>
      </c>
      <c r="I314" s="3">
        <v>6574</v>
      </c>
      <c r="J314">
        <v>8</v>
      </c>
      <c r="K314" s="5">
        <v>0.05</v>
      </c>
      <c r="L314" s="3">
        <v>1410.23</v>
      </c>
      <c r="M314" t="s">
        <v>20</v>
      </c>
      <c r="N314">
        <f t="shared" si="8"/>
        <v>2024</v>
      </c>
      <c r="O314" t="str">
        <f t="shared" si="9"/>
        <v>May</v>
      </c>
    </row>
    <row r="315" spans="1:15" x14ac:dyDescent="0.2">
      <c r="A315" t="s">
        <v>424</v>
      </c>
      <c r="B315" s="7">
        <v>45622</v>
      </c>
      <c r="C315" t="s">
        <v>90</v>
      </c>
      <c r="D315" t="s">
        <v>30</v>
      </c>
      <c r="E315" t="s">
        <v>104</v>
      </c>
      <c r="F315" t="s">
        <v>105</v>
      </c>
      <c r="G315" t="s">
        <v>42</v>
      </c>
      <c r="H315" t="s">
        <v>98</v>
      </c>
      <c r="I315" s="3">
        <v>55247.25</v>
      </c>
      <c r="J315">
        <v>5</v>
      </c>
      <c r="K315" s="5">
        <v>0.05</v>
      </c>
      <c r="L315" s="3">
        <v>4170.51</v>
      </c>
      <c r="M315" t="s">
        <v>20</v>
      </c>
      <c r="N315">
        <f t="shared" si="8"/>
        <v>2024</v>
      </c>
      <c r="O315" t="str">
        <f t="shared" si="9"/>
        <v>November</v>
      </c>
    </row>
    <row r="316" spans="1:15" x14ac:dyDescent="0.2">
      <c r="A316" t="s">
        <v>425</v>
      </c>
      <c r="B316" s="7">
        <v>45825</v>
      </c>
      <c r="C316" t="s">
        <v>37</v>
      </c>
      <c r="D316" t="s">
        <v>15</v>
      </c>
      <c r="E316" t="s">
        <v>56</v>
      </c>
      <c r="F316" t="s">
        <v>100</v>
      </c>
      <c r="G316" t="s">
        <v>42</v>
      </c>
      <c r="H316" t="s">
        <v>43</v>
      </c>
      <c r="I316" s="3">
        <v>12836.4</v>
      </c>
      <c r="J316">
        <v>6</v>
      </c>
      <c r="K316" s="5">
        <v>0.05</v>
      </c>
      <c r="L316" s="3">
        <v>3323.31</v>
      </c>
      <c r="M316" t="s">
        <v>35</v>
      </c>
      <c r="N316">
        <f t="shared" si="8"/>
        <v>2025</v>
      </c>
      <c r="O316" t="str">
        <f t="shared" si="9"/>
        <v>June</v>
      </c>
    </row>
    <row r="317" spans="1:15" x14ac:dyDescent="0.2">
      <c r="A317" t="s">
        <v>426</v>
      </c>
      <c r="B317" s="7">
        <v>45515</v>
      </c>
      <c r="C317" t="s">
        <v>90</v>
      </c>
      <c r="D317" t="s">
        <v>23</v>
      </c>
      <c r="E317" t="s">
        <v>38</v>
      </c>
      <c r="F317" t="s">
        <v>91</v>
      </c>
      <c r="G317" t="s">
        <v>58</v>
      </c>
      <c r="H317" t="s">
        <v>95</v>
      </c>
      <c r="I317" s="3">
        <v>212738.4</v>
      </c>
      <c r="J317">
        <v>4</v>
      </c>
      <c r="K317" s="5">
        <v>0.1</v>
      </c>
      <c r="L317" s="3">
        <v>27051.72</v>
      </c>
      <c r="M317" t="s">
        <v>35</v>
      </c>
      <c r="N317">
        <f t="shared" si="8"/>
        <v>2024</v>
      </c>
      <c r="O317" t="str">
        <f t="shared" si="9"/>
        <v>August</v>
      </c>
    </row>
    <row r="318" spans="1:15" x14ac:dyDescent="0.2">
      <c r="A318" t="s">
        <v>427</v>
      </c>
      <c r="B318" s="7">
        <v>45620</v>
      </c>
      <c r="C318" t="s">
        <v>22</v>
      </c>
      <c r="D318" t="s">
        <v>30</v>
      </c>
      <c r="E318" t="s">
        <v>72</v>
      </c>
      <c r="F318" t="s">
        <v>73</v>
      </c>
      <c r="G318" t="s">
        <v>18</v>
      </c>
      <c r="H318" t="s">
        <v>70</v>
      </c>
      <c r="I318" s="3">
        <v>52050</v>
      </c>
      <c r="J318">
        <v>6</v>
      </c>
      <c r="K318" s="5">
        <v>0</v>
      </c>
      <c r="L318" s="3">
        <v>11269.36</v>
      </c>
      <c r="M318" t="s">
        <v>20</v>
      </c>
      <c r="N318">
        <f t="shared" si="8"/>
        <v>2024</v>
      </c>
      <c r="O318" t="str">
        <f t="shared" si="9"/>
        <v>November</v>
      </c>
    </row>
    <row r="319" spans="1:15" x14ac:dyDescent="0.2">
      <c r="A319" t="s">
        <v>428</v>
      </c>
      <c r="B319" s="7">
        <v>45959</v>
      </c>
      <c r="C319" t="s">
        <v>76</v>
      </c>
      <c r="D319" t="s">
        <v>30</v>
      </c>
      <c r="E319" t="s">
        <v>104</v>
      </c>
      <c r="F319" t="s">
        <v>170</v>
      </c>
      <c r="G319" t="s">
        <v>42</v>
      </c>
      <c r="H319" t="s">
        <v>102</v>
      </c>
      <c r="I319" s="3">
        <v>89097</v>
      </c>
      <c r="J319">
        <v>6</v>
      </c>
      <c r="K319" s="5">
        <v>0.15</v>
      </c>
      <c r="L319" s="3">
        <v>4568.03</v>
      </c>
      <c r="M319" t="s">
        <v>27</v>
      </c>
      <c r="N319">
        <f t="shared" si="8"/>
        <v>2025</v>
      </c>
      <c r="O319" t="str">
        <f t="shared" si="9"/>
        <v>October</v>
      </c>
    </row>
    <row r="320" spans="1:15" x14ac:dyDescent="0.2">
      <c r="A320" t="s">
        <v>429</v>
      </c>
      <c r="B320" s="7">
        <v>45726</v>
      </c>
      <c r="C320" t="s">
        <v>37</v>
      </c>
      <c r="D320" t="s">
        <v>15</v>
      </c>
      <c r="E320" t="s">
        <v>16</v>
      </c>
      <c r="F320" t="s">
        <v>230</v>
      </c>
      <c r="G320" t="s">
        <v>18</v>
      </c>
      <c r="H320" t="s">
        <v>26</v>
      </c>
      <c r="I320" s="3">
        <v>914.85</v>
      </c>
      <c r="J320">
        <v>1</v>
      </c>
      <c r="K320" s="5">
        <v>0.05</v>
      </c>
      <c r="L320" s="3">
        <v>220.01</v>
      </c>
      <c r="M320" t="s">
        <v>40</v>
      </c>
      <c r="N320">
        <f t="shared" si="8"/>
        <v>2025</v>
      </c>
      <c r="O320" t="str">
        <f t="shared" si="9"/>
        <v>March</v>
      </c>
    </row>
    <row r="321" spans="1:15" x14ac:dyDescent="0.2">
      <c r="A321" t="s">
        <v>430</v>
      </c>
      <c r="B321" s="7">
        <v>45474</v>
      </c>
      <c r="C321" t="s">
        <v>68</v>
      </c>
      <c r="D321" t="s">
        <v>15</v>
      </c>
      <c r="E321" t="s">
        <v>61</v>
      </c>
      <c r="F321" t="s">
        <v>111</v>
      </c>
      <c r="G321" t="s">
        <v>18</v>
      </c>
      <c r="H321" t="s">
        <v>26</v>
      </c>
      <c r="I321" s="3">
        <v>2040</v>
      </c>
      <c r="J321">
        <v>8</v>
      </c>
      <c r="K321" s="5">
        <v>0</v>
      </c>
      <c r="L321" s="3">
        <v>193.09</v>
      </c>
      <c r="M321" t="s">
        <v>35</v>
      </c>
      <c r="N321">
        <f t="shared" si="8"/>
        <v>2024</v>
      </c>
      <c r="O321" t="str">
        <f t="shared" si="9"/>
        <v>July</v>
      </c>
    </row>
    <row r="322" spans="1:15" x14ac:dyDescent="0.2">
      <c r="A322" t="s">
        <v>431</v>
      </c>
      <c r="B322" s="7">
        <v>45981</v>
      </c>
      <c r="C322" t="s">
        <v>37</v>
      </c>
      <c r="D322" t="s">
        <v>23</v>
      </c>
      <c r="E322" t="s">
        <v>172</v>
      </c>
      <c r="F322" t="s">
        <v>210</v>
      </c>
      <c r="G322" t="s">
        <v>33</v>
      </c>
      <c r="H322" t="s">
        <v>34</v>
      </c>
      <c r="I322" s="3">
        <v>193813.2</v>
      </c>
      <c r="J322">
        <v>7</v>
      </c>
      <c r="K322" s="5">
        <v>0.1</v>
      </c>
      <c r="L322" s="3">
        <v>11314.46</v>
      </c>
      <c r="M322" t="s">
        <v>35</v>
      </c>
      <c r="N322">
        <f t="shared" ref="N322:N385" si="10">YEAR(B322)</f>
        <v>2025</v>
      </c>
      <c r="O322" t="str">
        <f t="shared" ref="O322:O385" si="11">TEXT(B322,"mmmm")</f>
        <v>November</v>
      </c>
    </row>
    <row r="323" spans="1:15" x14ac:dyDescent="0.2">
      <c r="A323" t="s">
        <v>432</v>
      </c>
      <c r="B323" s="7">
        <v>45600</v>
      </c>
      <c r="C323" t="s">
        <v>90</v>
      </c>
      <c r="D323" t="s">
        <v>23</v>
      </c>
      <c r="E323" t="s">
        <v>172</v>
      </c>
      <c r="F323" t="s">
        <v>173</v>
      </c>
      <c r="G323" t="s">
        <v>18</v>
      </c>
      <c r="H323" t="s">
        <v>70</v>
      </c>
      <c r="I323" s="3">
        <v>44355.6</v>
      </c>
      <c r="J323">
        <v>2</v>
      </c>
      <c r="K323" s="5">
        <v>0.1</v>
      </c>
      <c r="L323" s="3">
        <v>9420.17</v>
      </c>
      <c r="M323" t="s">
        <v>20</v>
      </c>
      <c r="N323">
        <f t="shared" si="10"/>
        <v>2024</v>
      </c>
      <c r="O323" t="str">
        <f t="shared" si="11"/>
        <v>November</v>
      </c>
    </row>
    <row r="324" spans="1:15" x14ac:dyDescent="0.2">
      <c r="A324" t="s">
        <v>433</v>
      </c>
      <c r="B324" s="7">
        <v>45692</v>
      </c>
      <c r="C324" t="s">
        <v>51</v>
      </c>
      <c r="D324" t="s">
        <v>30</v>
      </c>
      <c r="E324" t="s">
        <v>122</v>
      </c>
      <c r="F324" t="s">
        <v>123</v>
      </c>
      <c r="G324" t="s">
        <v>58</v>
      </c>
      <c r="H324" t="s">
        <v>59</v>
      </c>
      <c r="I324" s="3">
        <v>5625.9</v>
      </c>
      <c r="J324">
        <v>1</v>
      </c>
      <c r="K324" s="5">
        <v>0.05</v>
      </c>
      <c r="L324" s="3">
        <v>533.20000000000005</v>
      </c>
      <c r="M324" t="s">
        <v>27</v>
      </c>
      <c r="N324">
        <f t="shared" si="10"/>
        <v>2025</v>
      </c>
      <c r="O324" t="str">
        <f t="shared" si="11"/>
        <v>February</v>
      </c>
    </row>
    <row r="325" spans="1:15" x14ac:dyDescent="0.2">
      <c r="A325" t="s">
        <v>434</v>
      </c>
      <c r="B325" s="7">
        <v>45842</v>
      </c>
      <c r="C325" t="s">
        <v>51</v>
      </c>
      <c r="D325" t="s">
        <v>15</v>
      </c>
      <c r="E325" t="s">
        <v>46</v>
      </c>
      <c r="F325" t="s">
        <v>176</v>
      </c>
      <c r="G325" t="s">
        <v>42</v>
      </c>
      <c r="H325" t="s">
        <v>119</v>
      </c>
      <c r="I325" s="3">
        <v>288</v>
      </c>
      <c r="J325">
        <v>3</v>
      </c>
      <c r="K325" s="5">
        <v>0.2</v>
      </c>
      <c r="L325" s="3">
        <v>43.01</v>
      </c>
      <c r="M325" t="s">
        <v>20</v>
      </c>
      <c r="N325">
        <f t="shared" si="10"/>
        <v>2025</v>
      </c>
      <c r="O325" t="str">
        <f t="shared" si="11"/>
        <v>July</v>
      </c>
    </row>
    <row r="326" spans="1:15" x14ac:dyDescent="0.2">
      <c r="A326" t="s">
        <v>435</v>
      </c>
      <c r="B326" s="7">
        <v>45490</v>
      </c>
      <c r="C326" t="s">
        <v>37</v>
      </c>
      <c r="D326" t="s">
        <v>30</v>
      </c>
      <c r="E326" t="s">
        <v>31</v>
      </c>
      <c r="F326" t="s">
        <v>97</v>
      </c>
      <c r="G326" t="s">
        <v>42</v>
      </c>
      <c r="H326" t="s">
        <v>98</v>
      </c>
      <c r="I326" s="3">
        <v>16389.599999999999</v>
      </c>
      <c r="J326">
        <v>3</v>
      </c>
      <c r="K326" s="5">
        <v>0.2</v>
      </c>
      <c r="L326" s="3">
        <v>3227.93</v>
      </c>
      <c r="M326" t="s">
        <v>40</v>
      </c>
      <c r="N326">
        <f t="shared" si="10"/>
        <v>2024</v>
      </c>
      <c r="O326" t="str">
        <f t="shared" si="11"/>
        <v>July</v>
      </c>
    </row>
    <row r="327" spans="1:15" x14ac:dyDescent="0.2">
      <c r="A327" t="s">
        <v>436</v>
      </c>
      <c r="B327" s="7">
        <v>45886</v>
      </c>
      <c r="C327" t="s">
        <v>29</v>
      </c>
      <c r="D327" t="s">
        <v>15</v>
      </c>
      <c r="E327" t="s">
        <v>56</v>
      </c>
      <c r="F327" t="s">
        <v>100</v>
      </c>
      <c r="G327" t="s">
        <v>18</v>
      </c>
      <c r="H327" t="s">
        <v>63</v>
      </c>
      <c r="I327" s="3">
        <v>2252</v>
      </c>
      <c r="J327">
        <v>2</v>
      </c>
      <c r="K327" s="5">
        <v>0</v>
      </c>
      <c r="L327" s="3">
        <v>269.08</v>
      </c>
      <c r="M327" t="s">
        <v>27</v>
      </c>
      <c r="N327">
        <f t="shared" si="10"/>
        <v>2025</v>
      </c>
      <c r="O327" t="str">
        <f t="shared" si="11"/>
        <v>August</v>
      </c>
    </row>
    <row r="328" spans="1:15" x14ac:dyDescent="0.2">
      <c r="A328" t="s">
        <v>437</v>
      </c>
      <c r="B328" s="7">
        <v>45923</v>
      </c>
      <c r="C328" t="s">
        <v>68</v>
      </c>
      <c r="D328" t="s">
        <v>30</v>
      </c>
      <c r="E328" t="s">
        <v>31</v>
      </c>
      <c r="F328" t="s">
        <v>97</v>
      </c>
      <c r="G328" t="s">
        <v>33</v>
      </c>
      <c r="H328" t="s">
        <v>128</v>
      </c>
      <c r="I328" s="3">
        <v>12138</v>
      </c>
      <c r="J328">
        <v>2</v>
      </c>
      <c r="K328" s="5">
        <v>0.15</v>
      </c>
      <c r="L328" s="3">
        <v>1609.85</v>
      </c>
      <c r="M328" t="s">
        <v>35</v>
      </c>
      <c r="N328">
        <f t="shared" si="10"/>
        <v>2025</v>
      </c>
      <c r="O328" t="str">
        <f t="shared" si="11"/>
        <v>September</v>
      </c>
    </row>
    <row r="329" spans="1:15" x14ac:dyDescent="0.2">
      <c r="A329" t="s">
        <v>438</v>
      </c>
      <c r="B329" s="7">
        <v>45948</v>
      </c>
      <c r="C329" t="s">
        <v>22</v>
      </c>
      <c r="D329" t="s">
        <v>23</v>
      </c>
      <c r="E329" t="s">
        <v>172</v>
      </c>
      <c r="F329" t="s">
        <v>210</v>
      </c>
      <c r="G329" t="s">
        <v>42</v>
      </c>
      <c r="H329" t="s">
        <v>119</v>
      </c>
      <c r="I329" s="3">
        <v>4320.6000000000004</v>
      </c>
      <c r="J329">
        <v>3</v>
      </c>
      <c r="K329" s="5">
        <v>0.05</v>
      </c>
      <c r="L329" s="3">
        <v>907.07</v>
      </c>
      <c r="M329" t="s">
        <v>27</v>
      </c>
      <c r="N329">
        <f t="shared" si="10"/>
        <v>2025</v>
      </c>
      <c r="O329" t="str">
        <f t="shared" si="11"/>
        <v>October</v>
      </c>
    </row>
    <row r="330" spans="1:15" x14ac:dyDescent="0.2">
      <c r="A330" t="s">
        <v>439</v>
      </c>
      <c r="B330" s="7">
        <v>45953</v>
      </c>
      <c r="C330" t="s">
        <v>90</v>
      </c>
      <c r="D330" t="s">
        <v>30</v>
      </c>
      <c r="E330" t="s">
        <v>31</v>
      </c>
      <c r="F330" t="s">
        <v>97</v>
      </c>
      <c r="G330" t="s">
        <v>42</v>
      </c>
      <c r="H330" t="s">
        <v>43</v>
      </c>
      <c r="I330" s="3">
        <v>69177.600000000006</v>
      </c>
      <c r="J330">
        <v>8</v>
      </c>
      <c r="K330" s="5">
        <v>0.2</v>
      </c>
      <c r="L330" s="3">
        <v>3581.08</v>
      </c>
      <c r="M330" t="s">
        <v>20</v>
      </c>
      <c r="N330">
        <f t="shared" si="10"/>
        <v>2025</v>
      </c>
      <c r="O330" t="str">
        <f t="shared" si="11"/>
        <v>October</v>
      </c>
    </row>
    <row r="331" spans="1:15" x14ac:dyDescent="0.2">
      <c r="A331" t="s">
        <v>440</v>
      </c>
      <c r="B331" s="7">
        <v>45887</v>
      </c>
      <c r="C331" t="s">
        <v>90</v>
      </c>
      <c r="D331" t="s">
        <v>30</v>
      </c>
      <c r="E331" t="s">
        <v>31</v>
      </c>
      <c r="F331" t="s">
        <v>188</v>
      </c>
      <c r="G331" t="s">
        <v>33</v>
      </c>
      <c r="H331" t="s">
        <v>34</v>
      </c>
      <c r="I331" s="3">
        <v>5232</v>
      </c>
      <c r="J331">
        <v>2</v>
      </c>
      <c r="K331" s="5">
        <v>0.2</v>
      </c>
      <c r="L331" s="3">
        <v>817.89</v>
      </c>
      <c r="M331" t="s">
        <v>49</v>
      </c>
      <c r="N331">
        <f t="shared" si="10"/>
        <v>2025</v>
      </c>
      <c r="O331" t="str">
        <f t="shared" si="11"/>
        <v>August</v>
      </c>
    </row>
    <row r="332" spans="1:15" x14ac:dyDescent="0.2">
      <c r="A332" t="s">
        <v>441</v>
      </c>
      <c r="B332" s="7">
        <v>45895</v>
      </c>
      <c r="C332" t="s">
        <v>68</v>
      </c>
      <c r="D332" t="s">
        <v>15</v>
      </c>
      <c r="E332" t="s">
        <v>46</v>
      </c>
      <c r="F332" t="s">
        <v>116</v>
      </c>
      <c r="G332" t="s">
        <v>18</v>
      </c>
      <c r="H332" t="s">
        <v>19</v>
      </c>
      <c r="I332" s="3">
        <v>10866.4</v>
      </c>
      <c r="J332">
        <v>8</v>
      </c>
      <c r="K332" s="5">
        <v>0.15</v>
      </c>
      <c r="L332" s="3">
        <v>947.13</v>
      </c>
      <c r="M332" t="s">
        <v>40</v>
      </c>
      <c r="N332">
        <f t="shared" si="10"/>
        <v>2025</v>
      </c>
      <c r="O332" t="str">
        <f t="shared" si="11"/>
        <v>August</v>
      </c>
    </row>
    <row r="333" spans="1:15" x14ac:dyDescent="0.2">
      <c r="A333" t="s">
        <v>442</v>
      </c>
      <c r="B333" s="7">
        <v>45455</v>
      </c>
      <c r="C333" t="s">
        <v>55</v>
      </c>
      <c r="D333" t="s">
        <v>30</v>
      </c>
      <c r="E333" t="s">
        <v>72</v>
      </c>
      <c r="F333" t="s">
        <v>207</v>
      </c>
      <c r="G333" t="s">
        <v>18</v>
      </c>
      <c r="H333" t="s">
        <v>63</v>
      </c>
      <c r="I333" s="3">
        <v>6901.6</v>
      </c>
      <c r="J333">
        <v>1</v>
      </c>
      <c r="K333" s="5">
        <v>0.2</v>
      </c>
      <c r="L333" s="3">
        <v>400.8</v>
      </c>
      <c r="M333" t="s">
        <v>35</v>
      </c>
      <c r="N333">
        <f t="shared" si="10"/>
        <v>2024</v>
      </c>
      <c r="O333" t="str">
        <f t="shared" si="11"/>
        <v>June</v>
      </c>
    </row>
    <row r="334" spans="1:15" x14ac:dyDescent="0.2">
      <c r="A334" t="s">
        <v>443</v>
      </c>
      <c r="B334" s="7">
        <v>45531</v>
      </c>
      <c r="C334" t="s">
        <v>14</v>
      </c>
      <c r="D334" t="s">
        <v>15</v>
      </c>
      <c r="E334" t="s">
        <v>46</v>
      </c>
      <c r="F334" t="s">
        <v>176</v>
      </c>
      <c r="G334" t="s">
        <v>58</v>
      </c>
      <c r="H334" t="s">
        <v>84</v>
      </c>
      <c r="I334" s="3">
        <v>4196</v>
      </c>
      <c r="J334">
        <v>4</v>
      </c>
      <c r="K334" s="5">
        <v>0</v>
      </c>
      <c r="L334" s="3">
        <v>557.53</v>
      </c>
      <c r="M334" t="s">
        <v>40</v>
      </c>
      <c r="N334">
        <f t="shared" si="10"/>
        <v>2024</v>
      </c>
      <c r="O334" t="str">
        <f t="shared" si="11"/>
        <v>August</v>
      </c>
    </row>
    <row r="335" spans="1:15" x14ac:dyDescent="0.2">
      <c r="A335" t="s">
        <v>444</v>
      </c>
      <c r="B335" s="7">
        <v>45572</v>
      </c>
      <c r="C335" t="s">
        <v>68</v>
      </c>
      <c r="D335" t="s">
        <v>15</v>
      </c>
      <c r="E335" t="s">
        <v>65</v>
      </c>
      <c r="F335" t="s">
        <v>66</v>
      </c>
      <c r="G335" t="s">
        <v>58</v>
      </c>
      <c r="H335" t="s">
        <v>59</v>
      </c>
      <c r="I335" s="3">
        <v>417.6</v>
      </c>
      <c r="J335">
        <v>1</v>
      </c>
      <c r="K335" s="5">
        <v>0.2</v>
      </c>
      <c r="L335" s="3">
        <v>65.44</v>
      </c>
      <c r="M335" t="s">
        <v>35</v>
      </c>
      <c r="N335">
        <f t="shared" si="10"/>
        <v>2024</v>
      </c>
      <c r="O335" t="str">
        <f t="shared" si="11"/>
        <v>October</v>
      </c>
    </row>
    <row r="336" spans="1:15" x14ac:dyDescent="0.2">
      <c r="A336" t="s">
        <v>445</v>
      </c>
      <c r="B336" s="7">
        <v>45520</v>
      </c>
      <c r="C336" t="s">
        <v>51</v>
      </c>
      <c r="D336" t="s">
        <v>15</v>
      </c>
      <c r="E336" t="s">
        <v>56</v>
      </c>
      <c r="F336" t="s">
        <v>100</v>
      </c>
      <c r="G336" t="s">
        <v>33</v>
      </c>
      <c r="H336" t="s">
        <v>109</v>
      </c>
      <c r="I336" s="3">
        <v>13960.8</v>
      </c>
      <c r="J336">
        <v>7</v>
      </c>
      <c r="K336" s="5">
        <v>0.1</v>
      </c>
      <c r="L336" s="3">
        <v>1818.61</v>
      </c>
      <c r="M336" t="s">
        <v>49</v>
      </c>
      <c r="N336">
        <f t="shared" si="10"/>
        <v>2024</v>
      </c>
      <c r="O336" t="str">
        <f t="shared" si="11"/>
        <v>August</v>
      </c>
    </row>
    <row r="337" spans="1:15" x14ac:dyDescent="0.2">
      <c r="A337" t="s">
        <v>446</v>
      </c>
      <c r="B337" s="7">
        <v>45818</v>
      </c>
      <c r="C337" t="s">
        <v>68</v>
      </c>
      <c r="D337" t="s">
        <v>30</v>
      </c>
      <c r="E337" t="s">
        <v>104</v>
      </c>
      <c r="F337" t="s">
        <v>170</v>
      </c>
      <c r="G337" t="s">
        <v>58</v>
      </c>
      <c r="H337" t="s">
        <v>59</v>
      </c>
      <c r="I337" s="3">
        <v>5085.3500000000004</v>
      </c>
      <c r="J337">
        <v>1</v>
      </c>
      <c r="K337" s="5">
        <v>0.05</v>
      </c>
      <c r="L337" s="3">
        <v>577.17999999999995</v>
      </c>
      <c r="M337" t="s">
        <v>40</v>
      </c>
      <c r="N337">
        <f t="shared" si="10"/>
        <v>2025</v>
      </c>
      <c r="O337" t="str">
        <f t="shared" si="11"/>
        <v>June</v>
      </c>
    </row>
    <row r="338" spans="1:15" x14ac:dyDescent="0.2">
      <c r="A338" t="s">
        <v>447</v>
      </c>
      <c r="B338" s="7">
        <v>45785</v>
      </c>
      <c r="C338" t="s">
        <v>29</v>
      </c>
      <c r="D338" t="s">
        <v>23</v>
      </c>
      <c r="E338" t="s">
        <v>24</v>
      </c>
      <c r="F338" t="s">
        <v>25</v>
      </c>
      <c r="G338" t="s">
        <v>33</v>
      </c>
      <c r="H338" t="s">
        <v>34</v>
      </c>
      <c r="I338" s="3">
        <v>80146.8</v>
      </c>
      <c r="J338">
        <v>2</v>
      </c>
      <c r="K338" s="5">
        <v>0.1</v>
      </c>
      <c r="L338" s="3">
        <v>15953.31</v>
      </c>
      <c r="M338" t="s">
        <v>49</v>
      </c>
      <c r="N338">
        <f t="shared" si="10"/>
        <v>2025</v>
      </c>
      <c r="O338" t="str">
        <f t="shared" si="11"/>
        <v>May</v>
      </c>
    </row>
    <row r="339" spans="1:15" x14ac:dyDescent="0.2">
      <c r="A339" t="s">
        <v>448</v>
      </c>
      <c r="B339" s="7">
        <v>45936</v>
      </c>
      <c r="C339" t="s">
        <v>51</v>
      </c>
      <c r="D339" t="s">
        <v>23</v>
      </c>
      <c r="E339" t="s">
        <v>172</v>
      </c>
      <c r="F339" t="s">
        <v>182</v>
      </c>
      <c r="G339" t="s">
        <v>33</v>
      </c>
      <c r="H339" t="s">
        <v>109</v>
      </c>
      <c r="I339" s="3">
        <v>12886.4</v>
      </c>
      <c r="J339">
        <v>4</v>
      </c>
      <c r="K339" s="5">
        <v>0.2</v>
      </c>
      <c r="L339" s="3">
        <v>801.87</v>
      </c>
      <c r="M339" t="s">
        <v>20</v>
      </c>
      <c r="N339">
        <f t="shared" si="10"/>
        <v>2025</v>
      </c>
      <c r="O339" t="str">
        <f t="shared" si="11"/>
        <v>October</v>
      </c>
    </row>
    <row r="340" spans="1:15" x14ac:dyDescent="0.2">
      <c r="A340" t="s">
        <v>449</v>
      </c>
      <c r="B340" s="7">
        <v>45969</v>
      </c>
      <c r="C340" t="s">
        <v>68</v>
      </c>
      <c r="D340" t="s">
        <v>15</v>
      </c>
      <c r="E340" t="s">
        <v>46</v>
      </c>
      <c r="F340" t="s">
        <v>47</v>
      </c>
      <c r="G340" t="s">
        <v>18</v>
      </c>
      <c r="H340" t="s">
        <v>26</v>
      </c>
      <c r="I340" s="3">
        <v>7224</v>
      </c>
      <c r="J340">
        <v>3</v>
      </c>
      <c r="K340" s="5">
        <v>0</v>
      </c>
      <c r="L340" s="3">
        <v>1847.19</v>
      </c>
      <c r="M340" t="s">
        <v>20</v>
      </c>
      <c r="N340">
        <f t="shared" si="10"/>
        <v>2025</v>
      </c>
      <c r="O340" t="str">
        <f t="shared" si="11"/>
        <v>November</v>
      </c>
    </row>
    <row r="341" spans="1:15" x14ac:dyDescent="0.2">
      <c r="A341" t="s">
        <v>450</v>
      </c>
      <c r="B341" s="7">
        <v>45478</v>
      </c>
      <c r="C341" t="s">
        <v>90</v>
      </c>
      <c r="D341" t="s">
        <v>23</v>
      </c>
      <c r="E341" t="s">
        <v>38</v>
      </c>
      <c r="F341" t="s">
        <v>140</v>
      </c>
      <c r="G341" t="s">
        <v>58</v>
      </c>
      <c r="H341" t="s">
        <v>59</v>
      </c>
      <c r="I341" s="3">
        <v>177977.60000000001</v>
      </c>
      <c r="J341">
        <v>4</v>
      </c>
      <c r="K341" s="5">
        <v>0.2</v>
      </c>
      <c r="L341" s="3">
        <v>34543.79</v>
      </c>
      <c r="M341" t="s">
        <v>35</v>
      </c>
      <c r="N341">
        <f t="shared" si="10"/>
        <v>2024</v>
      </c>
      <c r="O341" t="str">
        <f t="shared" si="11"/>
        <v>July</v>
      </c>
    </row>
    <row r="342" spans="1:15" x14ac:dyDescent="0.2">
      <c r="A342" t="s">
        <v>451</v>
      </c>
      <c r="B342" s="7">
        <v>45499</v>
      </c>
      <c r="C342" t="s">
        <v>51</v>
      </c>
      <c r="D342" t="s">
        <v>30</v>
      </c>
      <c r="E342" t="s">
        <v>31</v>
      </c>
      <c r="F342" t="s">
        <v>188</v>
      </c>
      <c r="G342" t="s">
        <v>42</v>
      </c>
      <c r="H342" t="s">
        <v>43</v>
      </c>
      <c r="I342" s="3">
        <v>25066.7</v>
      </c>
      <c r="J342">
        <v>2</v>
      </c>
      <c r="K342" s="5">
        <v>0.05</v>
      </c>
      <c r="L342" s="3">
        <v>2236.3000000000002</v>
      </c>
      <c r="M342" t="s">
        <v>35</v>
      </c>
      <c r="N342">
        <f t="shared" si="10"/>
        <v>2024</v>
      </c>
      <c r="O342" t="str">
        <f t="shared" si="11"/>
        <v>July</v>
      </c>
    </row>
    <row r="343" spans="1:15" x14ac:dyDescent="0.2">
      <c r="A343" t="s">
        <v>452</v>
      </c>
      <c r="B343" s="7">
        <v>45387</v>
      </c>
      <c r="C343" t="s">
        <v>29</v>
      </c>
      <c r="D343" t="s">
        <v>15</v>
      </c>
      <c r="E343" t="s">
        <v>61</v>
      </c>
      <c r="F343" t="s">
        <v>111</v>
      </c>
      <c r="G343" t="s">
        <v>33</v>
      </c>
      <c r="H343" t="s">
        <v>128</v>
      </c>
      <c r="I343" s="3">
        <v>14566.4</v>
      </c>
      <c r="J343">
        <v>8</v>
      </c>
      <c r="K343" s="5">
        <v>0.2</v>
      </c>
      <c r="L343" s="3">
        <v>2628.89</v>
      </c>
      <c r="M343" t="s">
        <v>40</v>
      </c>
      <c r="N343">
        <f t="shared" si="10"/>
        <v>2024</v>
      </c>
      <c r="O343" t="str">
        <f t="shared" si="11"/>
        <v>April</v>
      </c>
    </row>
    <row r="344" spans="1:15" x14ac:dyDescent="0.2">
      <c r="A344" t="s">
        <v>453</v>
      </c>
      <c r="B344" s="7">
        <v>45785</v>
      </c>
      <c r="C344" t="s">
        <v>22</v>
      </c>
      <c r="D344" t="s">
        <v>15</v>
      </c>
      <c r="E344" t="s">
        <v>56</v>
      </c>
      <c r="F344" t="s">
        <v>100</v>
      </c>
      <c r="G344" t="s">
        <v>18</v>
      </c>
      <c r="H344" t="s">
        <v>63</v>
      </c>
      <c r="I344" s="3">
        <v>13506.5</v>
      </c>
      <c r="J344">
        <v>7</v>
      </c>
      <c r="K344" s="5">
        <v>0.15</v>
      </c>
      <c r="L344" s="3">
        <v>1193.94</v>
      </c>
      <c r="M344" t="s">
        <v>27</v>
      </c>
      <c r="N344">
        <f t="shared" si="10"/>
        <v>2025</v>
      </c>
      <c r="O344" t="str">
        <f t="shared" si="11"/>
        <v>May</v>
      </c>
    </row>
    <row r="345" spans="1:15" x14ac:dyDescent="0.2">
      <c r="A345" t="s">
        <v>454</v>
      </c>
      <c r="B345" s="7">
        <v>45848</v>
      </c>
      <c r="C345" t="s">
        <v>22</v>
      </c>
      <c r="D345" t="s">
        <v>15</v>
      </c>
      <c r="E345" t="s">
        <v>56</v>
      </c>
      <c r="F345" t="s">
        <v>88</v>
      </c>
      <c r="G345" t="s">
        <v>18</v>
      </c>
      <c r="H345" t="s">
        <v>63</v>
      </c>
      <c r="I345" s="3">
        <v>1993.5</v>
      </c>
      <c r="J345">
        <v>5</v>
      </c>
      <c r="K345" s="5">
        <v>0.1</v>
      </c>
      <c r="L345" s="3">
        <v>348.18</v>
      </c>
      <c r="M345" t="s">
        <v>27</v>
      </c>
      <c r="N345">
        <f t="shared" si="10"/>
        <v>2025</v>
      </c>
      <c r="O345" t="str">
        <f t="shared" si="11"/>
        <v>July</v>
      </c>
    </row>
    <row r="346" spans="1:15" x14ac:dyDescent="0.2">
      <c r="A346" t="s">
        <v>455</v>
      </c>
      <c r="B346" s="7">
        <v>45450</v>
      </c>
      <c r="C346" t="s">
        <v>22</v>
      </c>
      <c r="D346" t="s">
        <v>23</v>
      </c>
      <c r="E346" t="s">
        <v>82</v>
      </c>
      <c r="F346" t="s">
        <v>240</v>
      </c>
      <c r="G346" t="s">
        <v>18</v>
      </c>
      <c r="H346" t="s">
        <v>70</v>
      </c>
      <c r="I346" s="3">
        <v>21910.45</v>
      </c>
      <c r="J346">
        <v>1</v>
      </c>
      <c r="K346" s="5">
        <v>0.15</v>
      </c>
      <c r="L346" s="3">
        <v>2518.69</v>
      </c>
      <c r="M346" t="s">
        <v>35</v>
      </c>
      <c r="N346">
        <f t="shared" si="10"/>
        <v>2024</v>
      </c>
      <c r="O346" t="str">
        <f t="shared" si="11"/>
        <v>June</v>
      </c>
    </row>
    <row r="347" spans="1:15" x14ac:dyDescent="0.2">
      <c r="A347" t="s">
        <v>456</v>
      </c>
      <c r="B347" s="7">
        <v>45862</v>
      </c>
      <c r="C347" t="s">
        <v>29</v>
      </c>
      <c r="D347" t="s">
        <v>30</v>
      </c>
      <c r="E347" t="s">
        <v>104</v>
      </c>
      <c r="F347" t="s">
        <v>170</v>
      </c>
      <c r="G347" t="s">
        <v>58</v>
      </c>
      <c r="H347" t="s">
        <v>84</v>
      </c>
      <c r="I347" s="3">
        <v>58747.75</v>
      </c>
      <c r="J347">
        <v>5</v>
      </c>
      <c r="K347" s="5">
        <v>0.15</v>
      </c>
      <c r="L347" s="3">
        <v>8983.76</v>
      </c>
      <c r="M347" t="s">
        <v>40</v>
      </c>
      <c r="N347">
        <f t="shared" si="10"/>
        <v>2025</v>
      </c>
      <c r="O347" t="str">
        <f t="shared" si="11"/>
        <v>July</v>
      </c>
    </row>
    <row r="348" spans="1:15" x14ac:dyDescent="0.2">
      <c r="A348" t="s">
        <v>457</v>
      </c>
      <c r="B348" s="7">
        <v>45749</v>
      </c>
      <c r="C348" t="s">
        <v>55</v>
      </c>
      <c r="D348" t="s">
        <v>30</v>
      </c>
      <c r="E348" t="s">
        <v>72</v>
      </c>
      <c r="F348" t="s">
        <v>207</v>
      </c>
      <c r="G348" t="s">
        <v>58</v>
      </c>
      <c r="H348" t="s">
        <v>84</v>
      </c>
      <c r="I348" s="3">
        <v>83070</v>
      </c>
      <c r="J348">
        <v>6</v>
      </c>
      <c r="K348" s="5">
        <v>0</v>
      </c>
      <c r="L348" s="3">
        <v>19069.79</v>
      </c>
      <c r="M348" t="s">
        <v>20</v>
      </c>
      <c r="N348">
        <f t="shared" si="10"/>
        <v>2025</v>
      </c>
      <c r="O348" t="str">
        <f t="shared" si="11"/>
        <v>April</v>
      </c>
    </row>
    <row r="349" spans="1:15" x14ac:dyDescent="0.2">
      <c r="A349" t="s">
        <v>458</v>
      </c>
      <c r="B349" s="7">
        <v>45774</v>
      </c>
      <c r="C349" t="s">
        <v>90</v>
      </c>
      <c r="D349" t="s">
        <v>23</v>
      </c>
      <c r="E349" t="s">
        <v>172</v>
      </c>
      <c r="F349" t="s">
        <v>173</v>
      </c>
      <c r="G349" t="s">
        <v>58</v>
      </c>
      <c r="H349" t="s">
        <v>84</v>
      </c>
      <c r="I349" s="3">
        <v>11734</v>
      </c>
      <c r="J349">
        <v>1</v>
      </c>
      <c r="K349" s="5">
        <v>0</v>
      </c>
      <c r="L349" s="3">
        <v>2870.74</v>
      </c>
      <c r="M349" t="s">
        <v>49</v>
      </c>
      <c r="N349">
        <f t="shared" si="10"/>
        <v>2025</v>
      </c>
      <c r="O349" t="str">
        <f t="shared" si="11"/>
        <v>April</v>
      </c>
    </row>
    <row r="350" spans="1:15" x14ac:dyDescent="0.2">
      <c r="A350" t="s">
        <v>459</v>
      </c>
      <c r="B350" s="7">
        <v>45825</v>
      </c>
      <c r="C350" t="s">
        <v>68</v>
      </c>
      <c r="D350" t="s">
        <v>23</v>
      </c>
      <c r="E350" t="s">
        <v>82</v>
      </c>
      <c r="F350" t="s">
        <v>83</v>
      </c>
      <c r="G350" t="s">
        <v>42</v>
      </c>
      <c r="H350" t="s">
        <v>98</v>
      </c>
      <c r="I350" s="3">
        <v>69892.100000000006</v>
      </c>
      <c r="J350">
        <v>2</v>
      </c>
      <c r="K350" s="5">
        <v>0.15</v>
      </c>
      <c r="L350" s="3">
        <v>11552.68</v>
      </c>
      <c r="M350" t="s">
        <v>35</v>
      </c>
      <c r="N350">
        <f t="shared" si="10"/>
        <v>2025</v>
      </c>
      <c r="O350" t="str">
        <f t="shared" si="11"/>
        <v>June</v>
      </c>
    </row>
    <row r="351" spans="1:15" x14ac:dyDescent="0.2">
      <c r="A351" t="s">
        <v>460</v>
      </c>
      <c r="B351" s="7">
        <v>45905</v>
      </c>
      <c r="C351" t="s">
        <v>51</v>
      </c>
      <c r="D351" t="s">
        <v>23</v>
      </c>
      <c r="E351" t="s">
        <v>24</v>
      </c>
      <c r="F351" t="s">
        <v>77</v>
      </c>
      <c r="G351" t="s">
        <v>58</v>
      </c>
      <c r="H351" t="s">
        <v>59</v>
      </c>
      <c r="I351" s="3">
        <v>216379.6</v>
      </c>
      <c r="J351">
        <v>4</v>
      </c>
      <c r="K351" s="5">
        <v>0.05</v>
      </c>
      <c r="L351" s="3">
        <v>16060.1</v>
      </c>
      <c r="M351" t="s">
        <v>35</v>
      </c>
      <c r="N351">
        <f t="shared" si="10"/>
        <v>2025</v>
      </c>
      <c r="O351" t="str">
        <f t="shared" si="11"/>
        <v>September</v>
      </c>
    </row>
    <row r="352" spans="1:15" x14ac:dyDescent="0.2">
      <c r="A352" t="s">
        <v>461</v>
      </c>
      <c r="B352" s="7">
        <v>45701</v>
      </c>
      <c r="C352" t="s">
        <v>45</v>
      </c>
      <c r="D352" t="s">
        <v>15</v>
      </c>
      <c r="E352" t="s">
        <v>46</v>
      </c>
      <c r="F352" t="s">
        <v>47</v>
      </c>
      <c r="G352" t="s">
        <v>33</v>
      </c>
      <c r="H352" t="s">
        <v>128</v>
      </c>
      <c r="I352" s="3">
        <v>2976</v>
      </c>
      <c r="J352">
        <v>4</v>
      </c>
      <c r="K352" s="5">
        <v>0</v>
      </c>
      <c r="L352" s="3">
        <v>831.39</v>
      </c>
      <c r="M352" t="s">
        <v>49</v>
      </c>
      <c r="N352">
        <f t="shared" si="10"/>
        <v>2025</v>
      </c>
      <c r="O352" t="str">
        <f t="shared" si="11"/>
        <v>February</v>
      </c>
    </row>
    <row r="353" spans="1:15" x14ac:dyDescent="0.2">
      <c r="A353" t="s">
        <v>462</v>
      </c>
      <c r="B353" s="7">
        <v>45864</v>
      </c>
      <c r="C353" t="s">
        <v>90</v>
      </c>
      <c r="D353" t="s">
        <v>30</v>
      </c>
      <c r="E353" t="s">
        <v>72</v>
      </c>
      <c r="F353" t="s">
        <v>73</v>
      </c>
      <c r="G353" t="s">
        <v>33</v>
      </c>
      <c r="H353" t="s">
        <v>128</v>
      </c>
      <c r="I353" s="3">
        <v>6757.2</v>
      </c>
      <c r="J353">
        <v>2</v>
      </c>
      <c r="K353" s="5">
        <v>0.1</v>
      </c>
      <c r="L353" s="3">
        <v>1352.98</v>
      </c>
      <c r="M353" t="s">
        <v>27</v>
      </c>
      <c r="N353">
        <f t="shared" si="10"/>
        <v>2025</v>
      </c>
      <c r="O353" t="str">
        <f t="shared" si="11"/>
        <v>July</v>
      </c>
    </row>
    <row r="354" spans="1:15" x14ac:dyDescent="0.2">
      <c r="A354" t="s">
        <v>463</v>
      </c>
      <c r="B354" s="7">
        <v>45401</v>
      </c>
      <c r="C354" t="s">
        <v>51</v>
      </c>
      <c r="D354" t="s">
        <v>30</v>
      </c>
      <c r="E354" t="s">
        <v>104</v>
      </c>
      <c r="F354" t="s">
        <v>137</v>
      </c>
      <c r="G354" t="s">
        <v>33</v>
      </c>
      <c r="H354" t="s">
        <v>48</v>
      </c>
      <c r="I354" s="3">
        <v>6330.8</v>
      </c>
      <c r="J354">
        <v>7</v>
      </c>
      <c r="K354" s="5">
        <v>0.05</v>
      </c>
      <c r="L354" s="3">
        <v>942.83</v>
      </c>
      <c r="M354" t="s">
        <v>20</v>
      </c>
      <c r="N354">
        <f t="shared" si="10"/>
        <v>2024</v>
      </c>
      <c r="O354" t="str">
        <f t="shared" si="11"/>
        <v>April</v>
      </c>
    </row>
    <row r="355" spans="1:15" x14ac:dyDescent="0.2">
      <c r="A355" t="s">
        <v>464</v>
      </c>
      <c r="B355" s="7">
        <v>45541</v>
      </c>
      <c r="C355" t="s">
        <v>45</v>
      </c>
      <c r="D355" t="s">
        <v>15</v>
      </c>
      <c r="E355" t="s">
        <v>65</v>
      </c>
      <c r="F355" t="s">
        <v>222</v>
      </c>
      <c r="G355" t="s">
        <v>42</v>
      </c>
      <c r="H355" t="s">
        <v>102</v>
      </c>
      <c r="I355" s="3">
        <v>8130.25</v>
      </c>
      <c r="J355">
        <v>5</v>
      </c>
      <c r="K355" s="5">
        <v>0.15</v>
      </c>
      <c r="L355" s="3">
        <v>1261.28</v>
      </c>
      <c r="M355" t="s">
        <v>49</v>
      </c>
      <c r="N355">
        <f t="shared" si="10"/>
        <v>2024</v>
      </c>
      <c r="O355" t="str">
        <f t="shared" si="11"/>
        <v>September</v>
      </c>
    </row>
    <row r="356" spans="1:15" x14ac:dyDescent="0.2">
      <c r="A356" t="s">
        <v>465</v>
      </c>
      <c r="B356" s="7">
        <v>45714</v>
      </c>
      <c r="C356" t="s">
        <v>45</v>
      </c>
      <c r="D356" t="s">
        <v>15</v>
      </c>
      <c r="E356" t="s">
        <v>61</v>
      </c>
      <c r="F356" t="s">
        <v>111</v>
      </c>
      <c r="G356" t="s">
        <v>18</v>
      </c>
      <c r="H356" t="s">
        <v>63</v>
      </c>
      <c r="I356" s="3">
        <v>4759.5</v>
      </c>
      <c r="J356">
        <v>5</v>
      </c>
      <c r="K356" s="5">
        <v>0.05</v>
      </c>
      <c r="L356" s="3">
        <v>1082.94</v>
      </c>
      <c r="M356" t="s">
        <v>35</v>
      </c>
      <c r="N356">
        <f t="shared" si="10"/>
        <v>2025</v>
      </c>
      <c r="O356" t="str">
        <f t="shared" si="11"/>
        <v>February</v>
      </c>
    </row>
    <row r="357" spans="1:15" x14ac:dyDescent="0.2">
      <c r="A357" t="s">
        <v>466</v>
      </c>
      <c r="B357" s="7">
        <v>45779</v>
      </c>
      <c r="C357" t="s">
        <v>45</v>
      </c>
      <c r="D357" t="s">
        <v>15</v>
      </c>
      <c r="E357" t="s">
        <v>16</v>
      </c>
      <c r="F357" t="s">
        <v>204</v>
      </c>
      <c r="G357" t="s">
        <v>42</v>
      </c>
      <c r="H357" t="s">
        <v>98</v>
      </c>
      <c r="I357" s="3">
        <v>657.6</v>
      </c>
      <c r="J357">
        <v>2</v>
      </c>
      <c r="K357" s="5">
        <v>0.2</v>
      </c>
      <c r="L357" s="3">
        <v>142.22999999999999</v>
      </c>
      <c r="M357" t="s">
        <v>27</v>
      </c>
      <c r="N357">
        <f t="shared" si="10"/>
        <v>2025</v>
      </c>
      <c r="O357" t="str">
        <f t="shared" si="11"/>
        <v>May</v>
      </c>
    </row>
    <row r="358" spans="1:15" x14ac:dyDescent="0.2">
      <c r="A358" t="s">
        <v>467</v>
      </c>
      <c r="B358" s="7">
        <v>45503</v>
      </c>
      <c r="C358" t="s">
        <v>76</v>
      </c>
      <c r="D358" t="s">
        <v>23</v>
      </c>
      <c r="E358" t="s">
        <v>172</v>
      </c>
      <c r="F358" t="s">
        <v>173</v>
      </c>
      <c r="G358" t="s">
        <v>42</v>
      </c>
      <c r="H358" t="s">
        <v>98</v>
      </c>
      <c r="I358" s="3">
        <v>128827.6</v>
      </c>
      <c r="J358">
        <v>4</v>
      </c>
      <c r="K358" s="5">
        <v>0.05</v>
      </c>
      <c r="L358" s="3">
        <v>31182.53</v>
      </c>
      <c r="M358" t="s">
        <v>40</v>
      </c>
      <c r="N358">
        <f t="shared" si="10"/>
        <v>2024</v>
      </c>
      <c r="O358" t="str">
        <f t="shared" si="11"/>
        <v>July</v>
      </c>
    </row>
    <row r="359" spans="1:15" x14ac:dyDescent="0.2">
      <c r="A359" t="s">
        <v>468</v>
      </c>
      <c r="B359" s="7">
        <v>45846</v>
      </c>
      <c r="C359" t="s">
        <v>14</v>
      </c>
      <c r="D359" t="s">
        <v>23</v>
      </c>
      <c r="E359" t="s">
        <v>172</v>
      </c>
      <c r="F359" t="s">
        <v>182</v>
      </c>
      <c r="G359" t="s">
        <v>42</v>
      </c>
      <c r="H359" t="s">
        <v>98</v>
      </c>
      <c r="I359" s="3">
        <v>98408</v>
      </c>
      <c r="J359">
        <v>2</v>
      </c>
      <c r="K359" s="5">
        <v>0.2</v>
      </c>
      <c r="L359" s="3">
        <v>3082.6</v>
      </c>
      <c r="M359" t="s">
        <v>49</v>
      </c>
      <c r="N359">
        <f t="shared" si="10"/>
        <v>2025</v>
      </c>
      <c r="O359" t="str">
        <f t="shared" si="11"/>
        <v>July</v>
      </c>
    </row>
    <row r="360" spans="1:15" x14ac:dyDescent="0.2">
      <c r="A360" t="s">
        <v>469</v>
      </c>
      <c r="B360" s="7">
        <v>45882</v>
      </c>
      <c r="C360" t="s">
        <v>55</v>
      </c>
      <c r="D360" t="s">
        <v>30</v>
      </c>
      <c r="E360" t="s">
        <v>72</v>
      </c>
      <c r="F360" t="s">
        <v>73</v>
      </c>
      <c r="G360" t="s">
        <v>42</v>
      </c>
      <c r="H360" t="s">
        <v>43</v>
      </c>
      <c r="I360" s="3">
        <v>30564</v>
      </c>
      <c r="J360">
        <v>5</v>
      </c>
      <c r="K360" s="5">
        <v>0.1</v>
      </c>
      <c r="L360" s="3">
        <v>4113.18</v>
      </c>
      <c r="M360" t="s">
        <v>20</v>
      </c>
      <c r="N360">
        <f t="shared" si="10"/>
        <v>2025</v>
      </c>
      <c r="O360" t="str">
        <f t="shared" si="11"/>
        <v>August</v>
      </c>
    </row>
    <row r="361" spans="1:15" x14ac:dyDescent="0.2">
      <c r="A361" t="s">
        <v>470</v>
      </c>
      <c r="B361" s="7">
        <v>45763</v>
      </c>
      <c r="C361" t="s">
        <v>45</v>
      </c>
      <c r="D361" t="s">
        <v>15</v>
      </c>
      <c r="E361" t="s">
        <v>61</v>
      </c>
      <c r="F361" t="s">
        <v>144</v>
      </c>
      <c r="G361" t="s">
        <v>58</v>
      </c>
      <c r="H361" t="s">
        <v>95</v>
      </c>
      <c r="I361" s="3">
        <v>11832</v>
      </c>
      <c r="J361">
        <v>6</v>
      </c>
      <c r="K361" s="5">
        <v>0</v>
      </c>
      <c r="L361" s="3">
        <v>2598.89</v>
      </c>
      <c r="M361" t="s">
        <v>20</v>
      </c>
      <c r="N361">
        <f t="shared" si="10"/>
        <v>2025</v>
      </c>
      <c r="O361" t="str">
        <f t="shared" si="11"/>
        <v>April</v>
      </c>
    </row>
    <row r="362" spans="1:15" x14ac:dyDescent="0.2">
      <c r="A362" t="s">
        <v>471</v>
      </c>
      <c r="B362" s="7">
        <v>45567</v>
      </c>
      <c r="C362" t="s">
        <v>29</v>
      </c>
      <c r="D362" t="s">
        <v>23</v>
      </c>
      <c r="E362" t="s">
        <v>24</v>
      </c>
      <c r="F362" t="s">
        <v>86</v>
      </c>
      <c r="G362" t="s">
        <v>58</v>
      </c>
      <c r="H362" t="s">
        <v>95</v>
      </c>
      <c r="I362" s="3">
        <v>198523.2</v>
      </c>
      <c r="J362">
        <v>6</v>
      </c>
      <c r="K362" s="5">
        <v>0.2</v>
      </c>
      <c r="L362" s="3">
        <v>16392.02</v>
      </c>
      <c r="M362" t="s">
        <v>35</v>
      </c>
      <c r="N362">
        <f t="shared" si="10"/>
        <v>2024</v>
      </c>
      <c r="O362" t="str">
        <f t="shared" si="11"/>
        <v>October</v>
      </c>
    </row>
    <row r="363" spans="1:15" x14ac:dyDescent="0.2">
      <c r="A363" t="s">
        <v>472</v>
      </c>
      <c r="B363" s="7">
        <v>45476</v>
      </c>
      <c r="C363" t="s">
        <v>90</v>
      </c>
      <c r="D363" t="s">
        <v>30</v>
      </c>
      <c r="E363" t="s">
        <v>104</v>
      </c>
      <c r="F363" t="s">
        <v>137</v>
      </c>
      <c r="G363" t="s">
        <v>33</v>
      </c>
      <c r="H363" t="s">
        <v>109</v>
      </c>
      <c r="I363" s="3">
        <v>44196.6</v>
      </c>
      <c r="J363">
        <v>4</v>
      </c>
      <c r="K363" s="5">
        <v>0.15</v>
      </c>
      <c r="L363" s="3">
        <v>4350.09</v>
      </c>
      <c r="M363" t="s">
        <v>40</v>
      </c>
      <c r="N363">
        <f t="shared" si="10"/>
        <v>2024</v>
      </c>
      <c r="O363" t="str">
        <f t="shared" si="11"/>
        <v>July</v>
      </c>
    </row>
    <row r="364" spans="1:15" x14ac:dyDescent="0.2">
      <c r="A364" t="s">
        <v>473</v>
      </c>
      <c r="B364" s="7">
        <v>45445</v>
      </c>
      <c r="C364" t="s">
        <v>29</v>
      </c>
      <c r="D364" t="s">
        <v>15</v>
      </c>
      <c r="E364" t="s">
        <v>46</v>
      </c>
      <c r="F364" t="s">
        <v>176</v>
      </c>
      <c r="G364" t="s">
        <v>18</v>
      </c>
      <c r="H364" t="s">
        <v>19</v>
      </c>
      <c r="I364" s="3">
        <v>6004.95</v>
      </c>
      <c r="J364">
        <v>7</v>
      </c>
      <c r="K364" s="5">
        <v>0.05</v>
      </c>
      <c r="L364" s="3">
        <v>1366.17</v>
      </c>
      <c r="M364" t="s">
        <v>20</v>
      </c>
      <c r="N364">
        <f t="shared" si="10"/>
        <v>2024</v>
      </c>
      <c r="O364" t="str">
        <f t="shared" si="11"/>
        <v>June</v>
      </c>
    </row>
    <row r="365" spans="1:15" x14ac:dyDescent="0.2">
      <c r="A365" t="s">
        <v>474</v>
      </c>
      <c r="B365" s="7">
        <v>45873</v>
      </c>
      <c r="C365" t="s">
        <v>14</v>
      </c>
      <c r="D365" t="s">
        <v>23</v>
      </c>
      <c r="E365" t="s">
        <v>38</v>
      </c>
      <c r="F365" t="s">
        <v>39</v>
      </c>
      <c r="G365" t="s">
        <v>58</v>
      </c>
      <c r="H365" t="s">
        <v>74</v>
      </c>
      <c r="I365" s="3">
        <v>284401.8</v>
      </c>
      <c r="J365">
        <v>6</v>
      </c>
      <c r="K365" s="5">
        <v>0.1</v>
      </c>
      <c r="L365" s="3">
        <v>47616.74</v>
      </c>
      <c r="M365" t="s">
        <v>49</v>
      </c>
      <c r="N365">
        <f t="shared" si="10"/>
        <v>2025</v>
      </c>
      <c r="O365" t="str">
        <f t="shared" si="11"/>
        <v>August</v>
      </c>
    </row>
    <row r="366" spans="1:15" x14ac:dyDescent="0.2">
      <c r="A366" t="s">
        <v>475</v>
      </c>
      <c r="B366" s="7">
        <v>45660</v>
      </c>
      <c r="C366" t="s">
        <v>51</v>
      </c>
      <c r="D366" t="s">
        <v>23</v>
      </c>
      <c r="E366" t="s">
        <v>24</v>
      </c>
      <c r="F366" t="s">
        <v>86</v>
      </c>
      <c r="G366" t="s">
        <v>18</v>
      </c>
      <c r="H366" t="s">
        <v>26</v>
      </c>
      <c r="I366" s="3">
        <v>404510.4</v>
      </c>
      <c r="J366">
        <v>8</v>
      </c>
      <c r="K366" s="5">
        <v>0.1</v>
      </c>
      <c r="L366" s="3">
        <v>43263.93</v>
      </c>
      <c r="M366" t="s">
        <v>35</v>
      </c>
      <c r="N366">
        <f t="shared" si="10"/>
        <v>2025</v>
      </c>
      <c r="O366" t="str">
        <f t="shared" si="11"/>
        <v>January</v>
      </c>
    </row>
    <row r="367" spans="1:15" x14ac:dyDescent="0.2">
      <c r="A367" t="s">
        <v>476</v>
      </c>
      <c r="B367" s="7">
        <v>45843</v>
      </c>
      <c r="C367" t="s">
        <v>55</v>
      </c>
      <c r="D367" t="s">
        <v>30</v>
      </c>
      <c r="E367" t="s">
        <v>104</v>
      </c>
      <c r="F367" t="s">
        <v>105</v>
      </c>
      <c r="G367" t="s">
        <v>18</v>
      </c>
      <c r="H367" t="s">
        <v>63</v>
      </c>
      <c r="I367" s="3">
        <v>35131.199999999997</v>
      </c>
      <c r="J367">
        <v>6</v>
      </c>
      <c r="K367" s="5">
        <v>0.2</v>
      </c>
      <c r="L367" s="3">
        <v>5620.05</v>
      </c>
      <c r="M367" t="s">
        <v>27</v>
      </c>
      <c r="N367">
        <f t="shared" si="10"/>
        <v>2025</v>
      </c>
      <c r="O367" t="str">
        <f t="shared" si="11"/>
        <v>July</v>
      </c>
    </row>
    <row r="368" spans="1:15" x14ac:dyDescent="0.2">
      <c r="A368" t="s">
        <v>477</v>
      </c>
      <c r="B368" s="7">
        <v>45947</v>
      </c>
      <c r="C368" t="s">
        <v>45</v>
      </c>
      <c r="D368" t="s">
        <v>30</v>
      </c>
      <c r="E368" t="s">
        <v>104</v>
      </c>
      <c r="F368" t="s">
        <v>105</v>
      </c>
      <c r="G368" t="s">
        <v>58</v>
      </c>
      <c r="H368" t="s">
        <v>59</v>
      </c>
      <c r="I368" s="3">
        <v>67750.2</v>
      </c>
      <c r="J368">
        <v>7</v>
      </c>
      <c r="K368" s="5">
        <v>0.05</v>
      </c>
      <c r="L368" s="3">
        <v>16338.06</v>
      </c>
      <c r="M368" t="s">
        <v>49</v>
      </c>
      <c r="N368">
        <f t="shared" si="10"/>
        <v>2025</v>
      </c>
      <c r="O368" t="str">
        <f t="shared" si="11"/>
        <v>October</v>
      </c>
    </row>
    <row r="369" spans="1:15" x14ac:dyDescent="0.2">
      <c r="A369" t="s">
        <v>478</v>
      </c>
      <c r="B369" s="7">
        <v>46019</v>
      </c>
      <c r="C369" t="s">
        <v>68</v>
      </c>
      <c r="D369" t="s">
        <v>15</v>
      </c>
      <c r="E369" t="s">
        <v>56</v>
      </c>
      <c r="F369" t="s">
        <v>88</v>
      </c>
      <c r="G369" t="s">
        <v>58</v>
      </c>
      <c r="H369" t="s">
        <v>95</v>
      </c>
      <c r="I369" s="3">
        <v>3736.8</v>
      </c>
      <c r="J369">
        <v>3</v>
      </c>
      <c r="K369" s="5">
        <v>0.1</v>
      </c>
      <c r="L369" s="3">
        <v>693.56</v>
      </c>
      <c r="M369" t="s">
        <v>35</v>
      </c>
      <c r="N369">
        <f t="shared" si="10"/>
        <v>2025</v>
      </c>
      <c r="O369" t="str">
        <f t="shared" si="11"/>
        <v>December</v>
      </c>
    </row>
    <row r="370" spans="1:15" x14ac:dyDescent="0.2">
      <c r="A370" t="s">
        <v>479</v>
      </c>
      <c r="B370" s="7">
        <v>45532</v>
      </c>
      <c r="C370" t="s">
        <v>68</v>
      </c>
      <c r="D370" t="s">
        <v>15</v>
      </c>
      <c r="E370" t="s">
        <v>61</v>
      </c>
      <c r="F370" t="s">
        <v>62</v>
      </c>
      <c r="G370" t="s">
        <v>42</v>
      </c>
      <c r="H370" t="s">
        <v>43</v>
      </c>
      <c r="I370" s="3">
        <v>6824</v>
      </c>
      <c r="J370">
        <v>8</v>
      </c>
      <c r="K370" s="5">
        <v>0</v>
      </c>
      <c r="L370" s="3">
        <v>716.57</v>
      </c>
      <c r="M370" t="s">
        <v>20</v>
      </c>
      <c r="N370">
        <f t="shared" si="10"/>
        <v>2024</v>
      </c>
      <c r="O370" t="str">
        <f t="shared" si="11"/>
        <v>August</v>
      </c>
    </row>
    <row r="371" spans="1:15" x14ac:dyDescent="0.2">
      <c r="A371" t="s">
        <v>480</v>
      </c>
      <c r="B371" s="7">
        <v>45698</v>
      </c>
      <c r="C371" t="s">
        <v>51</v>
      </c>
      <c r="D371" t="s">
        <v>23</v>
      </c>
      <c r="E371" t="s">
        <v>24</v>
      </c>
      <c r="F371" t="s">
        <v>77</v>
      </c>
      <c r="G371" t="s">
        <v>58</v>
      </c>
      <c r="H371" t="s">
        <v>95</v>
      </c>
      <c r="I371" s="3">
        <v>125186</v>
      </c>
      <c r="J371">
        <v>2</v>
      </c>
      <c r="K371" s="5">
        <v>0</v>
      </c>
      <c r="L371" s="3">
        <v>10674.98</v>
      </c>
      <c r="M371" t="s">
        <v>20</v>
      </c>
      <c r="N371">
        <f t="shared" si="10"/>
        <v>2025</v>
      </c>
      <c r="O371" t="str">
        <f t="shared" si="11"/>
        <v>February</v>
      </c>
    </row>
    <row r="372" spans="1:15" x14ac:dyDescent="0.2">
      <c r="A372" t="s">
        <v>481</v>
      </c>
      <c r="B372" s="7">
        <v>45421</v>
      </c>
      <c r="C372" t="s">
        <v>55</v>
      </c>
      <c r="D372" t="s">
        <v>23</v>
      </c>
      <c r="E372" t="s">
        <v>79</v>
      </c>
      <c r="F372" t="s">
        <v>93</v>
      </c>
      <c r="G372" t="s">
        <v>33</v>
      </c>
      <c r="H372" t="s">
        <v>128</v>
      </c>
      <c r="I372" s="3">
        <v>135286.20000000001</v>
      </c>
      <c r="J372">
        <v>7</v>
      </c>
      <c r="K372" s="5">
        <v>0.1</v>
      </c>
      <c r="L372" s="3">
        <v>19431.439999999999</v>
      </c>
      <c r="M372" t="s">
        <v>35</v>
      </c>
      <c r="N372">
        <f t="shared" si="10"/>
        <v>2024</v>
      </c>
      <c r="O372" t="str">
        <f t="shared" si="11"/>
        <v>May</v>
      </c>
    </row>
    <row r="373" spans="1:15" x14ac:dyDescent="0.2">
      <c r="A373" t="s">
        <v>482</v>
      </c>
      <c r="B373" s="7">
        <v>46006</v>
      </c>
      <c r="C373" t="s">
        <v>51</v>
      </c>
      <c r="D373" t="s">
        <v>23</v>
      </c>
      <c r="E373" t="s">
        <v>82</v>
      </c>
      <c r="F373" t="s">
        <v>83</v>
      </c>
      <c r="G373" t="s">
        <v>18</v>
      </c>
      <c r="H373" t="s">
        <v>19</v>
      </c>
      <c r="I373" s="3">
        <v>216355.6</v>
      </c>
      <c r="J373">
        <v>8</v>
      </c>
      <c r="K373" s="5">
        <v>0.15</v>
      </c>
      <c r="L373" s="3">
        <v>15041.69</v>
      </c>
      <c r="M373" t="s">
        <v>40</v>
      </c>
      <c r="N373">
        <f t="shared" si="10"/>
        <v>2025</v>
      </c>
      <c r="O373" t="str">
        <f t="shared" si="11"/>
        <v>December</v>
      </c>
    </row>
    <row r="374" spans="1:15" x14ac:dyDescent="0.2">
      <c r="A374" t="s">
        <v>483</v>
      </c>
      <c r="B374" s="7">
        <v>45383</v>
      </c>
      <c r="C374" t="s">
        <v>29</v>
      </c>
      <c r="D374" t="s">
        <v>15</v>
      </c>
      <c r="E374" t="s">
        <v>56</v>
      </c>
      <c r="F374" t="s">
        <v>100</v>
      </c>
      <c r="G374" t="s">
        <v>58</v>
      </c>
      <c r="H374" t="s">
        <v>59</v>
      </c>
      <c r="I374" s="3">
        <v>8288</v>
      </c>
      <c r="J374">
        <v>5</v>
      </c>
      <c r="K374" s="5">
        <v>0.2</v>
      </c>
      <c r="L374" s="3">
        <v>625.13</v>
      </c>
      <c r="M374" t="s">
        <v>27</v>
      </c>
      <c r="N374">
        <f t="shared" si="10"/>
        <v>2024</v>
      </c>
      <c r="O374" t="str">
        <f t="shared" si="11"/>
        <v>April</v>
      </c>
    </row>
    <row r="375" spans="1:15" x14ac:dyDescent="0.2">
      <c r="A375" t="s">
        <v>484</v>
      </c>
      <c r="B375" s="7">
        <v>45839</v>
      </c>
      <c r="C375" t="s">
        <v>14</v>
      </c>
      <c r="D375" t="s">
        <v>30</v>
      </c>
      <c r="E375" t="s">
        <v>122</v>
      </c>
      <c r="F375" t="s">
        <v>160</v>
      </c>
      <c r="G375" t="s">
        <v>42</v>
      </c>
      <c r="H375" t="s">
        <v>98</v>
      </c>
      <c r="I375" s="3">
        <v>16153.2</v>
      </c>
      <c r="J375">
        <v>1</v>
      </c>
      <c r="K375" s="5">
        <v>0.1</v>
      </c>
      <c r="L375" s="3">
        <v>1814.85</v>
      </c>
      <c r="M375" t="s">
        <v>49</v>
      </c>
      <c r="N375">
        <f t="shared" si="10"/>
        <v>2025</v>
      </c>
      <c r="O375" t="str">
        <f t="shared" si="11"/>
        <v>July</v>
      </c>
    </row>
    <row r="376" spans="1:15" x14ac:dyDescent="0.2">
      <c r="A376" t="s">
        <v>485</v>
      </c>
      <c r="B376" s="7">
        <v>45866</v>
      </c>
      <c r="C376" t="s">
        <v>22</v>
      </c>
      <c r="D376" t="s">
        <v>30</v>
      </c>
      <c r="E376" t="s">
        <v>104</v>
      </c>
      <c r="F376" t="s">
        <v>137</v>
      </c>
      <c r="G376" t="s">
        <v>18</v>
      </c>
      <c r="H376" t="s">
        <v>63</v>
      </c>
      <c r="I376" s="3">
        <v>3729.6</v>
      </c>
      <c r="J376">
        <v>4</v>
      </c>
      <c r="K376" s="5">
        <v>0.1</v>
      </c>
      <c r="L376" s="3">
        <v>345.79</v>
      </c>
      <c r="M376" t="s">
        <v>49</v>
      </c>
      <c r="N376">
        <f t="shared" si="10"/>
        <v>2025</v>
      </c>
      <c r="O376" t="str">
        <f t="shared" si="11"/>
        <v>July</v>
      </c>
    </row>
    <row r="377" spans="1:15" x14ac:dyDescent="0.2">
      <c r="A377" t="s">
        <v>486</v>
      </c>
      <c r="B377" s="7">
        <v>45919</v>
      </c>
      <c r="C377" t="s">
        <v>68</v>
      </c>
      <c r="D377" t="s">
        <v>23</v>
      </c>
      <c r="E377" t="s">
        <v>24</v>
      </c>
      <c r="F377" t="s">
        <v>77</v>
      </c>
      <c r="G377" t="s">
        <v>58</v>
      </c>
      <c r="H377" t="s">
        <v>59</v>
      </c>
      <c r="I377" s="3">
        <v>25564</v>
      </c>
      <c r="J377">
        <v>5</v>
      </c>
      <c r="K377" s="5">
        <v>0.2</v>
      </c>
      <c r="L377" s="3">
        <v>4675.8500000000004</v>
      </c>
      <c r="M377" t="s">
        <v>27</v>
      </c>
      <c r="N377">
        <f t="shared" si="10"/>
        <v>2025</v>
      </c>
      <c r="O377" t="str">
        <f t="shared" si="11"/>
        <v>September</v>
      </c>
    </row>
    <row r="378" spans="1:15" x14ac:dyDescent="0.2">
      <c r="A378" t="s">
        <v>487</v>
      </c>
      <c r="B378" s="7">
        <v>45924</v>
      </c>
      <c r="C378" t="s">
        <v>29</v>
      </c>
      <c r="D378" t="s">
        <v>15</v>
      </c>
      <c r="E378" t="s">
        <v>56</v>
      </c>
      <c r="F378" t="s">
        <v>88</v>
      </c>
      <c r="G378" t="s">
        <v>42</v>
      </c>
      <c r="H378" t="s">
        <v>43</v>
      </c>
      <c r="I378" s="3">
        <v>2572</v>
      </c>
      <c r="J378">
        <v>2</v>
      </c>
      <c r="K378" s="5">
        <v>0</v>
      </c>
      <c r="L378" s="3">
        <v>533.38</v>
      </c>
      <c r="M378" t="s">
        <v>27</v>
      </c>
      <c r="N378">
        <f t="shared" si="10"/>
        <v>2025</v>
      </c>
      <c r="O378" t="str">
        <f t="shared" si="11"/>
        <v>September</v>
      </c>
    </row>
    <row r="379" spans="1:15" x14ac:dyDescent="0.2">
      <c r="A379" t="s">
        <v>488</v>
      </c>
      <c r="B379" s="7">
        <v>45396</v>
      </c>
      <c r="C379" t="s">
        <v>68</v>
      </c>
      <c r="D379" t="s">
        <v>15</v>
      </c>
      <c r="E379" t="s">
        <v>56</v>
      </c>
      <c r="F379" t="s">
        <v>57</v>
      </c>
      <c r="G379" t="s">
        <v>58</v>
      </c>
      <c r="H379" t="s">
        <v>74</v>
      </c>
      <c r="I379" s="3">
        <v>2291</v>
      </c>
      <c r="J379">
        <v>1</v>
      </c>
      <c r="K379" s="5">
        <v>0</v>
      </c>
      <c r="L379" s="3">
        <v>268.48</v>
      </c>
      <c r="M379" t="s">
        <v>27</v>
      </c>
      <c r="N379">
        <f t="shared" si="10"/>
        <v>2024</v>
      </c>
      <c r="O379" t="str">
        <f t="shared" si="11"/>
        <v>April</v>
      </c>
    </row>
    <row r="380" spans="1:15" x14ac:dyDescent="0.2">
      <c r="A380" t="s">
        <v>489</v>
      </c>
      <c r="B380" s="7">
        <v>45802</v>
      </c>
      <c r="C380" t="s">
        <v>45</v>
      </c>
      <c r="D380" t="s">
        <v>23</v>
      </c>
      <c r="E380" t="s">
        <v>38</v>
      </c>
      <c r="F380" t="s">
        <v>140</v>
      </c>
      <c r="G380" t="s">
        <v>18</v>
      </c>
      <c r="H380" t="s">
        <v>26</v>
      </c>
      <c r="I380" s="3">
        <v>5845.5</v>
      </c>
      <c r="J380">
        <v>3</v>
      </c>
      <c r="K380" s="5">
        <v>0.1</v>
      </c>
      <c r="L380" s="3">
        <v>812.81</v>
      </c>
      <c r="M380" t="s">
        <v>49</v>
      </c>
      <c r="N380">
        <f t="shared" si="10"/>
        <v>2025</v>
      </c>
      <c r="O380" t="str">
        <f t="shared" si="11"/>
        <v>May</v>
      </c>
    </row>
    <row r="381" spans="1:15" x14ac:dyDescent="0.2">
      <c r="A381" t="s">
        <v>490</v>
      </c>
      <c r="B381" s="7">
        <v>45488</v>
      </c>
      <c r="C381" t="s">
        <v>68</v>
      </c>
      <c r="D381" t="s">
        <v>15</v>
      </c>
      <c r="E381" t="s">
        <v>16</v>
      </c>
      <c r="F381" t="s">
        <v>17</v>
      </c>
      <c r="G381" t="s">
        <v>42</v>
      </c>
      <c r="H381" t="s">
        <v>102</v>
      </c>
      <c r="I381" s="3">
        <v>313.60000000000002</v>
      </c>
      <c r="J381">
        <v>1</v>
      </c>
      <c r="K381" s="5">
        <v>0.2</v>
      </c>
      <c r="L381" s="3">
        <v>38.9</v>
      </c>
      <c r="M381" t="s">
        <v>49</v>
      </c>
      <c r="N381">
        <f t="shared" si="10"/>
        <v>2024</v>
      </c>
      <c r="O381" t="str">
        <f t="shared" si="11"/>
        <v>July</v>
      </c>
    </row>
    <row r="382" spans="1:15" x14ac:dyDescent="0.2">
      <c r="A382" t="s">
        <v>491</v>
      </c>
      <c r="B382" s="7">
        <v>45388</v>
      </c>
      <c r="C382" t="s">
        <v>51</v>
      </c>
      <c r="D382" t="s">
        <v>23</v>
      </c>
      <c r="E382" t="s">
        <v>82</v>
      </c>
      <c r="F382" t="s">
        <v>83</v>
      </c>
      <c r="G382" t="s">
        <v>33</v>
      </c>
      <c r="H382" t="s">
        <v>109</v>
      </c>
      <c r="I382" s="3">
        <v>168436</v>
      </c>
      <c r="J382">
        <v>4</v>
      </c>
      <c r="K382" s="5">
        <v>0.15</v>
      </c>
      <c r="L382" s="3">
        <v>31929.5</v>
      </c>
      <c r="M382" t="s">
        <v>40</v>
      </c>
      <c r="N382">
        <f t="shared" si="10"/>
        <v>2024</v>
      </c>
      <c r="O382" t="str">
        <f t="shared" si="11"/>
        <v>April</v>
      </c>
    </row>
    <row r="383" spans="1:15" x14ac:dyDescent="0.2">
      <c r="A383" t="s">
        <v>492</v>
      </c>
      <c r="B383" s="7">
        <v>45597</v>
      </c>
      <c r="C383" t="s">
        <v>76</v>
      </c>
      <c r="D383" t="s">
        <v>30</v>
      </c>
      <c r="E383" t="s">
        <v>122</v>
      </c>
      <c r="F383" t="s">
        <v>131</v>
      </c>
      <c r="G383" t="s">
        <v>42</v>
      </c>
      <c r="H383" t="s">
        <v>119</v>
      </c>
      <c r="I383" s="3">
        <v>16082.1</v>
      </c>
      <c r="J383">
        <v>1</v>
      </c>
      <c r="K383" s="5">
        <v>0.1</v>
      </c>
      <c r="L383" s="3">
        <v>2432.35</v>
      </c>
      <c r="M383" t="s">
        <v>27</v>
      </c>
      <c r="N383">
        <f t="shared" si="10"/>
        <v>2024</v>
      </c>
      <c r="O383" t="str">
        <f t="shared" si="11"/>
        <v>November</v>
      </c>
    </row>
    <row r="384" spans="1:15" x14ac:dyDescent="0.2">
      <c r="A384" t="s">
        <v>493</v>
      </c>
      <c r="B384" s="7">
        <v>45697</v>
      </c>
      <c r="C384" t="s">
        <v>76</v>
      </c>
      <c r="D384" t="s">
        <v>23</v>
      </c>
      <c r="E384" t="s">
        <v>24</v>
      </c>
      <c r="F384" t="s">
        <v>25</v>
      </c>
      <c r="G384" t="s">
        <v>18</v>
      </c>
      <c r="H384" t="s">
        <v>26</v>
      </c>
      <c r="I384" s="3">
        <v>141542.1</v>
      </c>
      <c r="J384">
        <v>7</v>
      </c>
      <c r="K384" s="5">
        <v>0.1</v>
      </c>
      <c r="L384" s="3">
        <v>24336.66</v>
      </c>
      <c r="M384" t="s">
        <v>20</v>
      </c>
      <c r="N384">
        <f t="shared" si="10"/>
        <v>2025</v>
      </c>
      <c r="O384" t="str">
        <f t="shared" si="11"/>
        <v>February</v>
      </c>
    </row>
    <row r="385" spans="1:15" x14ac:dyDescent="0.2">
      <c r="A385" t="s">
        <v>494</v>
      </c>
      <c r="B385" s="7">
        <v>45638</v>
      </c>
      <c r="C385" t="s">
        <v>14</v>
      </c>
      <c r="D385" t="s">
        <v>23</v>
      </c>
      <c r="E385" t="s">
        <v>172</v>
      </c>
      <c r="F385" t="s">
        <v>210</v>
      </c>
      <c r="G385" t="s">
        <v>58</v>
      </c>
      <c r="H385" t="s">
        <v>74</v>
      </c>
      <c r="I385" s="3">
        <v>35000</v>
      </c>
      <c r="J385">
        <v>2</v>
      </c>
      <c r="K385" s="5">
        <v>0</v>
      </c>
      <c r="L385" s="3">
        <v>7601.61</v>
      </c>
      <c r="M385" t="s">
        <v>20</v>
      </c>
      <c r="N385">
        <f t="shared" si="10"/>
        <v>2024</v>
      </c>
      <c r="O385" t="str">
        <f t="shared" si="11"/>
        <v>December</v>
      </c>
    </row>
    <row r="386" spans="1:15" x14ac:dyDescent="0.2">
      <c r="A386" t="s">
        <v>495</v>
      </c>
      <c r="B386" s="7">
        <v>45678</v>
      </c>
      <c r="C386" t="s">
        <v>45</v>
      </c>
      <c r="D386" t="s">
        <v>30</v>
      </c>
      <c r="E386" t="s">
        <v>31</v>
      </c>
      <c r="F386" t="s">
        <v>97</v>
      </c>
      <c r="G386" t="s">
        <v>18</v>
      </c>
      <c r="H386" t="s">
        <v>26</v>
      </c>
      <c r="I386" s="3">
        <v>46284</v>
      </c>
      <c r="J386">
        <v>4</v>
      </c>
      <c r="K386" s="5">
        <v>0.05</v>
      </c>
      <c r="L386" s="3">
        <v>3321.83</v>
      </c>
      <c r="M386" t="s">
        <v>40</v>
      </c>
      <c r="N386">
        <f t="shared" ref="N386:N449" si="12">YEAR(B386)</f>
        <v>2025</v>
      </c>
      <c r="O386" t="str">
        <f t="shared" ref="O386:O449" si="13">TEXT(B386,"mmmm")</f>
        <v>January</v>
      </c>
    </row>
    <row r="387" spans="1:15" x14ac:dyDescent="0.2">
      <c r="A387" t="s">
        <v>496</v>
      </c>
      <c r="B387" s="7">
        <v>45648</v>
      </c>
      <c r="C387" t="s">
        <v>45</v>
      </c>
      <c r="D387" t="s">
        <v>30</v>
      </c>
      <c r="E387" t="s">
        <v>52</v>
      </c>
      <c r="F387" t="s">
        <v>118</v>
      </c>
      <c r="G387" t="s">
        <v>58</v>
      </c>
      <c r="H387" t="s">
        <v>59</v>
      </c>
      <c r="I387" s="3">
        <v>67436</v>
      </c>
      <c r="J387">
        <v>5</v>
      </c>
      <c r="K387" s="5">
        <v>0.2</v>
      </c>
      <c r="L387" s="3">
        <v>4540.1499999999996</v>
      </c>
      <c r="M387" t="s">
        <v>49</v>
      </c>
      <c r="N387">
        <f t="shared" si="12"/>
        <v>2024</v>
      </c>
      <c r="O387" t="str">
        <f t="shared" si="13"/>
        <v>December</v>
      </c>
    </row>
    <row r="388" spans="1:15" x14ac:dyDescent="0.2">
      <c r="A388" t="s">
        <v>497</v>
      </c>
      <c r="B388" s="7">
        <v>45292</v>
      </c>
      <c r="C388" t="s">
        <v>51</v>
      </c>
      <c r="D388" t="s">
        <v>30</v>
      </c>
      <c r="E388" t="s">
        <v>72</v>
      </c>
      <c r="F388" t="s">
        <v>73</v>
      </c>
      <c r="G388" t="s">
        <v>33</v>
      </c>
      <c r="H388" t="s">
        <v>128</v>
      </c>
      <c r="I388" s="3">
        <v>25171.200000000001</v>
      </c>
      <c r="J388">
        <v>3</v>
      </c>
      <c r="K388" s="5">
        <v>0.2</v>
      </c>
      <c r="L388" s="3">
        <v>2603.27</v>
      </c>
      <c r="M388" t="s">
        <v>49</v>
      </c>
      <c r="N388">
        <f t="shared" si="12"/>
        <v>2024</v>
      </c>
      <c r="O388" t="str">
        <f t="shared" si="13"/>
        <v>January</v>
      </c>
    </row>
    <row r="389" spans="1:15" x14ac:dyDescent="0.2">
      <c r="A389" t="s">
        <v>498</v>
      </c>
      <c r="B389" s="7">
        <v>45991</v>
      </c>
      <c r="C389" t="s">
        <v>29</v>
      </c>
      <c r="D389" t="s">
        <v>15</v>
      </c>
      <c r="E389" t="s">
        <v>46</v>
      </c>
      <c r="F389" t="s">
        <v>116</v>
      </c>
      <c r="G389" t="s">
        <v>18</v>
      </c>
      <c r="H389" t="s">
        <v>19</v>
      </c>
      <c r="I389" s="3">
        <v>7843.8</v>
      </c>
      <c r="J389">
        <v>4</v>
      </c>
      <c r="K389" s="5">
        <v>0.15</v>
      </c>
      <c r="L389" s="3">
        <v>631.22</v>
      </c>
      <c r="M389" t="s">
        <v>35</v>
      </c>
      <c r="N389">
        <f t="shared" si="12"/>
        <v>2025</v>
      </c>
      <c r="O389" t="str">
        <f t="shared" si="13"/>
        <v>November</v>
      </c>
    </row>
    <row r="390" spans="1:15" x14ac:dyDescent="0.2">
      <c r="A390" t="s">
        <v>499</v>
      </c>
      <c r="B390" s="7">
        <v>45424</v>
      </c>
      <c r="C390" t="s">
        <v>55</v>
      </c>
      <c r="D390" t="s">
        <v>23</v>
      </c>
      <c r="E390" t="s">
        <v>172</v>
      </c>
      <c r="F390" t="s">
        <v>210</v>
      </c>
      <c r="G390" t="s">
        <v>42</v>
      </c>
      <c r="H390" t="s">
        <v>119</v>
      </c>
      <c r="I390" s="3">
        <v>50634</v>
      </c>
      <c r="J390">
        <v>6</v>
      </c>
      <c r="K390" s="5">
        <v>0</v>
      </c>
      <c r="L390" s="3">
        <v>4494.04</v>
      </c>
      <c r="M390" t="s">
        <v>20</v>
      </c>
      <c r="N390">
        <f t="shared" si="12"/>
        <v>2024</v>
      </c>
      <c r="O390" t="str">
        <f t="shared" si="13"/>
        <v>May</v>
      </c>
    </row>
    <row r="391" spans="1:15" x14ac:dyDescent="0.2">
      <c r="A391" t="s">
        <v>500</v>
      </c>
      <c r="B391" s="7">
        <v>45896</v>
      </c>
      <c r="C391" t="s">
        <v>68</v>
      </c>
      <c r="D391" t="s">
        <v>23</v>
      </c>
      <c r="E391" t="s">
        <v>82</v>
      </c>
      <c r="F391" t="s">
        <v>265</v>
      </c>
      <c r="G391" t="s">
        <v>58</v>
      </c>
      <c r="H391" t="s">
        <v>74</v>
      </c>
      <c r="I391" s="3">
        <v>30896.799999999999</v>
      </c>
      <c r="J391">
        <v>1</v>
      </c>
      <c r="K391" s="5">
        <v>0.2</v>
      </c>
      <c r="L391" s="3">
        <v>4782.6400000000003</v>
      </c>
      <c r="M391" t="s">
        <v>20</v>
      </c>
      <c r="N391">
        <f t="shared" si="12"/>
        <v>2025</v>
      </c>
      <c r="O391" t="str">
        <f t="shared" si="13"/>
        <v>August</v>
      </c>
    </row>
    <row r="392" spans="1:15" x14ac:dyDescent="0.2">
      <c r="A392" t="s">
        <v>501</v>
      </c>
      <c r="B392" s="7">
        <v>45717</v>
      </c>
      <c r="C392" t="s">
        <v>45</v>
      </c>
      <c r="D392" t="s">
        <v>30</v>
      </c>
      <c r="E392" t="s">
        <v>31</v>
      </c>
      <c r="F392" t="s">
        <v>32</v>
      </c>
      <c r="G392" t="s">
        <v>18</v>
      </c>
      <c r="H392" t="s">
        <v>70</v>
      </c>
      <c r="I392" s="3">
        <v>27360</v>
      </c>
      <c r="J392">
        <v>8</v>
      </c>
      <c r="K392" s="5">
        <v>0</v>
      </c>
      <c r="L392" s="3">
        <v>4163.79</v>
      </c>
      <c r="M392" t="s">
        <v>20</v>
      </c>
      <c r="N392">
        <f t="shared" si="12"/>
        <v>2025</v>
      </c>
      <c r="O392" t="str">
        <f t="shared" si="13"/>
        <v>March</v>
      </c>
    </row>
    <row r="393" spans="1:15" x14ac:dyDescent="0.2">
      <c r="A393" t="s">
        <v>502</v>
      </c>
      <c r="B393" s="7">
        <v>45528</v>
      </c>
      <c r="C393" t="s">
        <v>51</v>
      </c>
      <c r="D393" t="s">
        <v>15</v>
      </c>
      <c r="E393" t="s">
        <v>65</v>
      </c>
      <c r="F393" t="s">
        <v>66</v>
      </c>
      <c r="G393" t="s">
        <v>18</v>
      </c>
      <c r="H393" t="s">
        <v>70</v>
      </c>
      <c r="I393" s="3">
        <v>4454</v>
      </c>
      <c r="J393">
        <v>2</v>
      </c>
      <c r="K393" s="5">
        <v>0</v>
      </c>
      <c r="L393" s="3">
        <v>446.49</v>
      </c>
      <c r="M393" t="s">
        <v>49</v>
      </c>
      <c r="N393">
        <f t="shared" si="12"/>
        <v>2024</v>
      </c>
      <c r="O393" t="str">
        <f t="shared" si="13"/>
        <v>August</v>
      </c>
    </row>
    <row r="394" spans="1:15" x14ac:dyDescent="0.2">
      <c r="A394" t="s">
        <v>503</v>
      </c>
      <c r="B394" s="7">
        <v>46011</v>
      </c>
      <c r="C394" t="s">
        <v>22</v>
      </c>
      <c r="D394" t="s">
        <v>23</v>
      </c>
      <c r="E394" t="s">
        <v>24</v>
      </c>
      <c r="F394" t="s">
        <v>25</v>
      </c>
      <c r="G394" t="s">
        <v>33</v>
      </c>
      <c r="H394" t="s">
        <v>48</v>
      </c>
      <c r="I394" s="3">
        <v>315604.8</v>
      </c>
      <c r="J394">
        <v>7</v>
      </c>
      <c r="K394" s="5">
        <v>0.1</v>
      </c>
      <c r="L394" s="3">
        <v>59932.88</v>
      </c>
      <c r="M394" t="s">
        <v>20</v>
      </c>
      <c r="N394">
        <f t="shared" si="12"/>
        <v>2025</v>
      </c>
      <c r="O394" t="str">
        <f t="shared" si="13"/>
        <v>December</v>
      </c>
    </row>
    <row r="395" spans="1:15" x14ac:dyDescent="0.2">
      <c r="A395" t="s">
        <v>504</v>
      </c>
      <c r="B395" s="7">
        <v>45624</v>
      </c>
      <c r="C395" t="s">
        <v>45</v>
      </c>
      <c r="D395" t="s">
        <v>23</v>
      </c>
      <c r="E395" t="s">
        <v>24</v>
      </c>
      <c r="F395" t="s">
        <v>25</v>
      </c>
      <c r="G395" t="s">
        <v>58</v>
      </c>
      <c r="H395" t="s">
        <v>84</v>
      </c>
      <c r="I395" s="3">
        <v>97710.3</v>
      </c>
      <c r="J395">
        <v>3</v>
      </c>
      <c r="K395" s="5">
        <v>0.1</v>
      </c>
      <c r="L395" s="3">
        <v>16123.79</v>
      </c>
      <c r="M395" t="s">
        <v>49</v>
      </c>
      <c r="N395">
        <f t="shared" si="12"/>
        <v>2024</v>
      </c>
      <c r="O395" t="str">
        <f t="shared" si="13"/>
        <v>November</v>
      </c>
    </row>
    <row r="396" spans="1:15" x14ac:dyDescent="0.2">
      <c r="A396" t="s">
        <v>505</v>
      </c>
      <c r="B396" s="7">
        <v>45698</v>
      </c>
      <c r="C396" t="s">
        <v>14</v>
      </c>
      <c r="D396" t="s">
        <v>15</v>
      </c>
      <c r="E396" t="s">
        <v>61</v>
      </c>
      <c r="F396" t="s">
        <v>144</v>
      </c>
      <c r="G396" t="s">
        <v>42</v>
      </c>
      <c r="H396" t="s">
        <v>98</v>
      </c>
      <c r="I396" s="3">
        <v>5351.6</v>
      </c>
      <c r="J396">
        <v>4</v>
      </c>
      <c r="K396" s="5">
        <v>0.15</v>
      </c>
      <c r="L396" s="3">
        <v>706.41</v>
      </c>
      <c r="M396" t="s">
        <v>20</v>
      </c>
      <c r="N396">
        <f t="shared" si="12"/>
        <v>2025</v>
      </c>
      <c r="O396" t="str">
        <f t="shared" si="13"/>
        <v>February</v>
      </c>
    </row>
    <row r="397" spans="1:15" x14ac:dyDescent="0.2">
      <c r="A397" t="s">
        <v>506</v>
      </c>
      <c r="B397" s="7">
        <v>45998</v>
      </c>
      <c r="C397" t="s">
        <v>68</v>
      </c>
      <c r="D397" t="s">
        <v>30</v>
      </c>
      <c r="E397" t="s">
        <v>72</v>
      </c>
      <c r="F397" t="s">
        <v>207</v>
      </c>
      <c r="G397" t="s">
        <v>18</v>
      </c>
      <c r="H397" t="s">
        <v>26</v>
      </c>
      <c r="I397" s="3">
        <v>7263</v>
      </c>
      <c r="J397">
        <v>1</v>
      </c>
      <c r="K397" s="5">
        <v>0.1</v>
      </c>
      <c r="L397" s="3">
        <v>430.99</v>
      </c>
      <c r="M397" t="s">
        <v>35</v>
      </c>
      <c r="N397">
        <f t="shared" si="12"/>
        <v>2025</v>
      </c>
      <c r="O397" t="str">
        <f t="shared" si="13"/>
        <v>December</v>
      </c>
    </row>
    <row r="398" spans="1:15" x14ac:dyDescent="0.2">
      <c r="A398" t="s">
        <v>507</v>
      </c>
      <c r="B398" s="7">
        <v>45888</v>
      </c>
      <c r="C398" t="s">
        <v>76</v>
      </c>
      <c r="D398" t="s">
        <v>15</v>
      </c>
      <c r="E398" t="s">
        <v>56</v>
      </c>
      <c r="F398" t="s">
        <v>88</v>
      </c>
      <c r="G398" t="s">
        <v>33</v>
      </c>
      <c r="H398" t="s">
        <v>128</v>
      </c>
      <c r="I398" s="3">
        <v>4795.2</v>
      </c>
      <c r="J398">
        <v>8</v>
      </c>
      <c r="K398" s="5">
        <v>0.1</v>
      </c>
      <c r="L398" s="3">
        <v>615.78</v>
      </c>
      <c r="M398" t="s">
        <v>40</v>
      </c>
      <c r="N398">
        <f t="shared" si="12"/>
        <v>2025</v>
      </c>
      <c r="O398" t="str">
        <f t="shared" si="13"/>
        <v>August</v>
      </c>
    </row>
    <row r="399" spans="1:15" x14ac:dyDescent="0.2">
      <c r="A399" t="s">
        <v>508</v>
      </c>
      <c r="B399" s="7">
        <v>45998</v>
      </c>
      <c r="C399" t="s">
        <v>90</v>
      </c>
      <c r="D399" t="s">
        <v>30</v>
      </c>
      <c r="E399" t="s">
        <v>104</v>
      </c>
      <c r="F399" t="s">
        <v>170</v>
      </c>
      <c r="G399" t="s">
        <v>18</v>
      </c>
      <c r="H399" t="s">
        <v>63</v>
      </c>
      <c r="I399" s="3">
        <v>11318.6</v>
      </c>
      <c r="J399">
        <v>4</v>
      </c>
      <c r="K399" s="5">
        <v>0.15</v>
      </c>
      <c r="L399" s="3">
        <v>872.44</v>
      </c>
      <c r="M399" t="s">
        <v>20</v>
      </c>
      <c r="N399">
        <f t="shared" si="12"/>
        <v>2025</v>
      </c>
      <c r="O399" t="str">
        <f t="shared" si="13"/>
        <v>December</v>
      </c>
    </row>
    <row r="400" spans="1:15" x14ac:dyDescent="0.2">
      <c r="A400" t="s">
        <v>509</v>
      </c>
      <c r="B400" s="7">
        <v>45415</v>
      </c>
      <c r="C400" t="s">
        <v>76</v>
      </c>
      <c r="D400" t="s">
        <v>15</v>
      </c>
      <c r="E400" t="s">
        <v>65</v>
      </c>
      <c r="F400" t="s">
        <v>147</v>
      </c>
      <c r="G400" t="s">
        <v>18</v>
      </c>
      <c r="H400" t="s">
        <v>63</v>
      </c>
      <c r="I400" s="3">
        <v>1296.25</v>
      </c>
      <c r="J400">
        <v>1</v>
      </c>
      <c r="K400" s="5">
        <v>0.15</v>
      </c>
      <c r="L400" s="3">
        <v>163.07</v>
      </c>
      <c r="M400" t="s">
        <v>35</v>
      </c>
      <c r="N400">
        <f t="shared" si="12"/>
        <v>2024</v>
      </c>
      <c r="O400" t="str">
        <f t="shared" si="13"/>
        <v>May</v>
      </c>
    </row>
    <row r="401" spans="1:15" x14ac:dyDescent="0.2">
      <c r="A401" t="s">
        <v>510</v>
      </c>
      <c r="B401" s="7">
        <v>45448</v>
      </c>
      <c r="C401" t="s">
        <v>14</v>
      </c>
      <c r="D401" t="s">
        <v>23</v>
      </c>
      <c r="E401" t="s">
        <v>38</v>
      </c>
      <c r="F401" t="s">
        <v>39</v>
      </c>
      <c r="G401" t="s">
        <v>18</v>
      </c>
      <c r="H401" t="s">
        <v>19</v>
      </c>
      <c r="I401" s="3">
        <v>17700.8</v>
      </c>
      <c r="J401">
        <v>1</v>
      </c>
      <c r="K401" s="5">
        <v>0.2</v>
      </c>
      <c r="L401" s="3">
        <v>3001.24</v>
      </c>
      <c r="M401" t="s">
        <v>49</v>
      </c>
      <c r="N401">
        <f t="shared" si="12"/>
        <v>2024</v>
      </c>
      <c r="O401" t="str">
        <f t="shared" si="13"/>
        <v>June</v>
      </c>
    </row>
    <row r="402" spans="1:15" x14ac:dyDescent="0.2">
      <c r="A402" t="s">
        <v>511</v>
      </c>
      <c r="B402" s="7">
        <v>45779</v>
      </c>
      <c r="C402" t="s">
        <v>90</v>
      </c>
      <c r="D402" t="s">
        <v>30</v>
      </c>
      <c r="E402" t="s">
        <v>72</v>
      </c>
      <c r="F402" t="s">
        <v>207</v>
      </c>
      <c r="G402" t="s">
        <v>18</v>
      </c>
      <c r="H402" t="s">
        <v>26</v>
      </c>
      <c r="I402" s="3">
        <v>65174.75</v>
      </c>
      <c r="J402">
        <v>5</v>
      </c>
      <c r="K402" s="5">
        <v>0.05</v>
      </c>
      <c r="L402" s="3">
        <v>8781.23</v>
      </c>
      <c r="M402" t="s">
        <v>20</v>
      </c>
      <c r="N402">
        <f t="shared" si="12"/>
        <v>2025</v>
      </c>
      <c r="O402" t="str">
        <f t="shared" si="13"/>
        <v>May</v>
      </c>
    </row>
    <row r="403" spans="1:15" x14ac:dyDescent="0.2">
      <c r="A403" t="s">
        <v>512</v>
      </c>
      <c r="B403" s="7">
        <v>45791</v>
      </c>
      <c r="C403" t="s">
        <v>22</v>
      </c>
      <c r="D403" t="s">
        <v>15</v>
      </c>
      <c r="E403" t="s">
        <v>61</v>
      </c>
      <c r="F403" t="s">
        <v>62</v>
      </c>
      <c r="G403" t="s">
        <v>42</v>
      </c>
      <c r="H403" t="s">
        <v>102</v>
      </c>
      <c r="I403" s="3">
        <v>3879.4</v>
      </c>
      <c r="J403">
        <v>7</v>
      </c>
      <c r="K403" s="5">
        <v>0.15</v>
      </c>
      <c r="L403" s="3">
        <v>598.82000000000005</v>
      </c>
      <c r="M403" t="s">
        <v>35</v>
      </c>
      <c r="N403">
        <f t="shared" si="12"/>
        <v>2025</v>
      </c>
      <c r="O403" t="str">
        <f t="shared" si="13"/>
        <v>May</v>
      </c>
    </row>
    <row r="404" spans="1:15" x14ac:dyDescent="0.2">
      <c r="A404" t="s">
        <v>513</v>
      </c>
      <c r="B404" s="7">
        <v>45979</v>
      </c>
      <c r="C404" t="s">
        <v>22</v>
      </c>
      <c r="D404" t="s">
        <v>23</v>
      </c>
      <c r="E404" t="s">
        <v>172</v>
      </c>
      <c r="F404" t="s">
        <v>182</v>
      </c>
      <c r="G404" t="s">
        <v>33</v>
      </c>
      <c r="H404" t="s">
        <v>48</v>
      </c>
      <c r="I404" s="3">
        <v>208424</v>
      </c>
      <c r="J404">
        <v>5</v>
      </c>
      <c r="K404" s="5">
        <v>0.2</v>
      </c>
      <c r="L404" s="3">
        <v>9987.4500000000007</v>
      </c>
      <c r="M404" t="s">
        <v>49</v>
      </c>
      <c r="N404">
        <f t="shared" si="12"/>
        <v>2025</v>
      </c>
      <c r="O404" t="str">
        <f t="shared" si="13"/>
        <v>November</v>
      </c>
    </row>
    <row r="405" spans="1:15" x14ac:dyDescent="0.2">
      <c r="A405" t="s">
        <v>514</v>
      </c>
      <c r="B405" s="7">
        <v>45744</v>
      </c>
      <c r="C405" t="s">
        <v>90</v>
      </c>
      <c r="D405" t="s">
        <v>30</v>
      </c>
      <c r="E405" t="s">
        <v>104</v>
      </c>
      <c r="F405" t="s">
        <v>137</v>
      </c>
      <c r="G405" t="s">
        <v>33</v>
      </c>
      <c r="H405" t="s">
        <v>34</v>
      </c>
      <c r="I405" s="3">
        <v>9709.2000000000007</v>
      </c>
      <c r="J405">
        <v>1</v>
      </c>
      <c r="K405" s="5">
        <v>0.1</v>
      </c>
      <c r="L405" s="3">
        <v>1730.61</v>
      </c>
      <c r="M405" t="s">
        <v>40</v>
      </c>
      <c r="N405">
        <f t="shared" si="12"/>
        <v>2025</v>
      </c>
      <c r="O405" t="str">
        <f t="shared" si="13"/>
        <v>March</v>
      </c>
    </row>
    <row r="406" spans="1:15" x14ac:dyDescent="0.2">
      <c r="A406" t="s">
        <v>515</v>
      </c>
      <c r="B406" s="7">
        <v>45927</v>
      </c>
      <c r="C406" t="s">
        <v>55</v>
      </c>
      <c r="D406" t="s">
        <v>30</v>
      </c>
      <c r="E406" t="s">
        <v>52</v>
      </c>
      <c r="F406" t="s">
        <v>118</v>
      </c>
      <c r="G406" t="s">
        <v>33</v>
      </c>
      <c r="H406" t="s">
        <v>48</v>
      </c>
      <c r="I406" s="3">
        <v>21666</v>
      </c>
      <c r="J406">
        <v>6</v>
      </c>
      <c r="K406" s="5">
        <v>0</v>
      </c>
      <c r="L406" s="3">
        <v>2786.46</v>
      </c>
      <c r="M406" t="s">
        <v>27</v>
      </c>
      <c r="N406">
        <f t="shared" si="12"/>
        <v>2025</v>
      </c>
      <c r="O406" t="str">
        <f t="shared" si="13"/>
        <v>September</v>
      </c>
    </row>
    <row r="407" spans="1:15" x14ac:dyDescent="0.2">
      <c r="A407" t="s">
        <v>516</v>
      </c>
      <c r="B407" s="7">
        <v>45851</v>
      </c>
      <c r="C407" t="s">
        <v>51</v>
      </c>
      <c r="D407" t="s">
        <v>23</v>
      </c>
      <c r="E407" t="s">
        <v>79</v>
      </c>
      <c r="F407" t="s">
        <v>80</v>
      </c>
      <c r="G407" t="s">
        <v>18</v>
      </c>
      <c r="H407" t="s">
        <v>19</v>
      </c>
      <c r="I407" s="3">
        <v>17216</v>
      </c>
      <c r="J407">
        <v>8</v>
      </c>
      <c r="K407" s="5">
        <v>0.2</v>
      </c>
      <c r="L407" s="3">
        <v>1246.01</v>
      </c>
      <c r="M407" t="s">
        <v>27</v>
      </c>
      <c r="N407">
        <f t="shared" si="12"/>
        <v>2025</v>
      </c>
      <c r="O407" t="str">
        <f t="shared" si="13"/>
        <v>July</v>
      </c>
    </row>
    <row r="408" spans="1:15" x14ac:dyDescent="0.2">
      <c r="A408" t="s">
        <v>517</v>
      </c>
      <c r="B408" s="7">
        <v>46005</v>
      </c>
      <c r="C408" t="s">
        <v>90</v>
      </c>
      <c r="D408" t="s">
        <v>15</v>
      </c>
      <c r="E408" t="s">
        <v>61</v>
      </c>
      <c r="F408" t="s">
        <v>62</v>
      </c>
      <c r="G408" t="s">
        <v>33</v>
      </c>
      <c r="H408" t="s">
        <v>128</v>
      </c>
      <c r="I408" s="3">
        <v>311.39999999999998</v>
      </c>
      <c r="J408">
        <v>1</v>
      </c>
      <c r="K408" s="5">
        <v>0.1</v>
      </c>
      <c r="L408" s="3">
        <v>29.63</v>
      </c>
      <c r="M408" t="s">
        <v>27</v>
      </c>
      <c r="N408">
        <f t="shared" si="12"/>
        <v>2025</v>
      </c>
      <c r="O408" t="str">
        <f t="shared" si="13"/>
        <v>December</v>
      </c>
    </row>
    <row r="409" spans="1:15" x14ac:dyDescent="0.2">
      <c r="A409" t="s">
        <v>518</v>
      </c>
      <c r="B409" s="7">
        <v>45956</v>
      </c>
      <c r="C409" t="s">
        <v>22</v>
      </c>
      <c r="D409" t="s">
        <v>23</v>
      </c>
      <c r="E409" t="s">
        <v>38</v>
      </c>
      <c r="F409" t="s">
        <v>91</v>
      </c>
      <c r="G409" t="s">
        <v>18</v>
      </c>
      <c r="H409" t="s">
        <v>70</v>
      </c>
      <c r="I409" s="3">
        <v>223245</v>
      </c>
      <c r="J409">
        <v>5</v>
      </c>
      <c r="K409" s="5">
        <v>0</v>
      </c>
      <c r="L409" s="3">
        <v>30919.24</v>
      </c>
      <c r="M409" t="s">
        <v>40</v>
      </c>
      <c r="N409">
        <f t="shared" si="12"/>
        <v>2025</v>
      </c>
      <c r="O409" t="str">
        <f t="shared" si="13"/>
        <v>October</v>
      </c>
    </row>
    <row r="410" spans="1:15" x14ac:dyDescent="0.2">
      <c r="A410" t="s">
        <v>519</v>
      </c>
      <c r="B410" s="7">
        <v>46021</v>
      </c>
      <c r="C410" t="s">
        <v>14</v>
      </c>
      <c r="D410" t="s">
        <v>30</v>
      </c>
      <c r="E410" t="s">
        <v>72</v>
      </c>
      <c r="F410" t="s">
        <v>207</v>
      </c>
      <c r="G410" t="s">
        <v>18</v>
      </c>
      <c r="H410" t="s">
        <v>19</v>
      </c>
      <c r="I410" s="3">
        <v>12437.2</v>
      </c>
      <c r="J410">
        <v>2</v>
      </c>
      <c r="K410" s="5">
        <v>0.15</v>
      </c>
      <c r="L410" s="3">
        <v>1923.26</v>
      </c>
      <c r="M410" t="s">
        <v>20</v>
      </c>
      <c r="N410">
        <f t="shared" si="12"/>
        <v>2025</v>
      </c>
      <c r="O410" t="str">
        <f t="shared" si="13"/>
        <v>December</v>
      </c>
    </row>
    <row r="411" spans="1:15" x14ac:dyDescent="0.2">
      <c r="A411" t="s">
        <v>520</v>
      </c>
      <c r="B411" s="7">
        <v>45655</v>
      </c>
      <c r="C411" t="s">
        <v>68</v>
      </c>
      <c r="D411" t="s">
        <v>23</v>
      </c>
      <c r="E411" t="s">
        <v>172</v>
      </c>
      <c r="F411" t="s">
        <v>210</v>
      </c>
      <c r="G411" t="s">
        <v>42</v>
      </c>
      <c r="H411" t="s">
        <v>119</v>
      </c>
      <c r="I411" s="3">
        <v>314899.20000000001</v>
      </c>
      <c r="J411">
        <v>7</v>
      </c>
      <c r="K411" s="5">
        <v>0.1</v>
      </c>
      <c r="L411" s="3">
        <v>60417.279999999999</v>
      </c>
      <c r="M411" t="s">
        <v>40</v>
      </c>
      <c r="N411">
        <f t="shared" si="12"/>
        <v>2024</v>
      </c>
      <c r="O411" t="str">
        <f t="shared" si="13"/>
        <v>December</v>
      </c>
    </row>
    <row r="412" spans="1:15" x14ac:dyDescent="0.2">
      <c r="A412" t="s">
        <v>521</v>
      </c>
      <c r="B412" s="7">
        <v>45694</v>
      </c>
      <c r="C412" t="s">
        <v>55</v>
      </c>
      <c r="D412" t="s">
        <v>15</v>
      </c>
      <c r="E412" t="s">
        <v>65</v>
      </c>
      <c r="F412" t="s">
        <v>66</v>
      </c>
      <c r="G412" t="s">
        <v>18</v>
      </c>
      <c r="H412" t="s">
        <v>19</v>
      </c>
      <c r="I412" s="3">
        <v>971.85</v>
      </c>
      <c r="J412">
        <v>1</v>
      </c>
      <c r="K412" s="5">
        <v>0.05</v>
      </c>
      <c r="L412" s="3">
        <v>132.03</v>
      </c>
      <c r="M412" t="s">
        <v>20</v>
      </c>
      <c r="N412">
        <f t="shared" si="12"/>
        <v>2025</v>
      </c>
      <c r="O412" t="str">
        <f t="shared" si="13"/>
        <v>February</v>
      </c>
    </row>
    <row r="413" spans="1:15" x14ac:dyDescent="0.2">
      <c r="A413" t="s">
        <v>522</v>
      </c>
      <c r="B413" s="7">
        <v>45503</v>
      </c>
      <c r="C413" t="s">
        <v>55</v>
      </c>
      <c r="D413" t="s">
        <v>15</v>
      </c>
      <c r="E413" t="s">
        <v>61</v>
      </c>
      <c r="F413" t="s">
        <v>111</v>
      </c>
      <c r="G413" t="s">
        <v>33</v>
      </c>
      <c r="H413" t="s">
        <v>109</v>
      </c>
      <c r="I413" s="3">
        <v>3692.4</v>
      </c>
      <c r="J413">
        <v>3</v>
      </c>
      <c r="K413" s="5">
        <v>0.15</v>
      </c>
      <c r="L413" s="3">
        <v>557.36</v>
      </c>
      <c r="M413" t="s">
        <v>35</v>
      </c>
      <c r="N413">
        <f t="shared" si="12"/>
        <v>2024</v>
      </c>
      <c r="O413" t="str">
        <f t="shared" si="13"/>
        <v>July</v>
      </c>
    </row>
    <row r="414" spans="1:15" x14ac:dyDescent="0.2">
      <c r="A414" t="s">
        <v>523</v>
      </c>
      <c r="B414" s="7">
        <v>45862</v>
      </c>
      <c r="C414" t="s">
        <v>51</v>
      </c>
      <c r="D414" t="s">
        <v>15</v>
      </c>
      <c r="E414" t="s">
        <v>46</v>
      </c>
      <c r="F414" t="s">
        <v>116</v>
      </c>
      <c r="G414" t="s">
        <v>33</v>
      </c>
      <c r="H414" t="s">
        <v>34</v>
      </c>
      <c r="I414" s="3">
        <v>6877.05</v>
      </c>
      <c r="J414">
        <v>3</v>
      </c>
      <c r="K414" s="5">
        <v>0.05</v>
      </c>
      <c r="L414" s="3">
        <v>900.89</v>
      </c>
      <c r="M414" t="s">
        <v>20</v>
      </c>
      <c r="N414">
        <f t="shared" si="12"/>
        <v>2025</v>
      </c>
      <c r="O414" t="str">
        <f t="shared" si="13"/>
        <v>July</v>
      </c>
    </row>
    <row r="415" spans="1:15" x14ac:dyDescent="0.2">
      <c r="A415" t="s">
        <v>524</v>
      </c>
      <c r="B415" s="7">
        <v>45944</v>
      </c>
      <c r="C415" t="s">
        <v>68</v>
      </c>
      <c r="D415" t="s">
        <v>23</v>
      </c>
      <c r="E415" t="s">
        <v>79</v>
      </c>
      <c r="F415" t="s">
        <v>80</v>
      </c>
      <c r="G415" t="s">
        <v>33</v>
      </c>
      <c r="H415" t="s">
        <v>128</v>
      </c>
      <c r="I415" s="3">
        <v>381942.4</v>
      </c>
      <c r="J415">
        <v>7</v>
      </c>
      <c r="K415" s="5">
        <v>0.15</v>
      </c>
      <c r="L415" s="3">
        <v>73188.55</v>
      </c>
      <c r="M415" t="s">
        <v>40</v>
      </c>
      <c r="N415">
        <f t="shared" si="12"/>
        <v>2025</v>
      </c>
      <c r="O415" t="str">
        <f t="shared" si="13"/>
        <v>October</v>
      </c>
    </row>
    <row r="416" spans="1:15" x14ac:dyDescent="0.2">
      <c r="A416" t="s">
        <v>525</v>
      </c>
      <c r="B416" s="7">
        <v>45659</v>
      </c>
      <c r="C416" t="s">
        <v>37</v>
      </c>
      <c r="D416" t="s">
        <v>23</v>
      </c>
      <c r="E416" t="s">
        <v>82</v>
      </c>
      <c r="F416" t="s">
        <v>265</v>
      </c>
      <c r="G416" t="s">
        <v>33</v>
      </c>
      <c r="H416" t="s">
        <v>48</v>
      </c>
      <c r="I416" s="3">
        <v>194218</v>
      </c>
      <c r="J416">
        <v>5</v>
      </c>
      <c r="K416" s="5">
        <v>0.05</v>
      </c>
      <c r="L416" s="3">
        <v>39809.949999999997</v>
      </c>
      <c r="M416" t="s">
        <v>49</v>
      </c>
      <c r="N416">
        <f t="shared" si="12"/>
        <v>2025</v>
      </c>
      <c r="O416" t="str">
        <f t="shared" si="13"/>
        <v>January</v>
      </c>
    </row>
    <row r="417" spans="1:15" x14ac:dyDescent="0.2">
      <c r="A417" t="s">
        <v>526</v>
      </c>
      <c r="B417" s="7">
        <v>45325</v>
      </c>
      <c r="C417" t="s">
        <v>22</v>
      </c>
      <c r="D417" t="s">
        <v>23</v>
      </c>
      <c r="E417" t="s">
        <v>172</v>
      </c>
      <c r="F417" t="s">
        <v>182</v>
      </c>
      <c r="G417" t="s">
        <v>58</v>
      </c>
      <c r="H417" t="s">
        <v>84</v>
      </c>
      <c r="I417" s="3">
        <v>222156.55</v>
      </c>
      <c r="J417">
        <v>7</v>
      </c>
      <c r="K417" s="5">
        <v>0.05</v>
      </c>
      <c r="L417" s="3">
        <v>23582.35</v>
      </c>
      <c r="M417" t="s">
        <v>20</v>
      </c>
      <c r="N417">
        <f t="shared" si="12"/>
        <v>2024</v>
      </c>
      <c r="O417" t="str">
        <f t="shared" si="13"/>
        <v>February</v>
      </c>
    </row>
    <row r="418" spans="1:15" x14ac:dyDescent="0.2">
      <c r="A418" t="s">
        <v>527</v>
      </c>
      <c r="B418" s="7">
        <v>45544</v>
      </c>
      <c r="C418" t="s">
        <v>22</v>
      </c>
      <c r="D418" t="s">
        <v>30</v>
      </c>
      <c r="E418" t="s">
        <v>122</v>
      </c>
      <c r="F418" t="s">
        <v>131</v>
      </c>
      <c r="G418" t="s">
        <v>33</v>
      </c>
      <c r="H418" t="s">
        <v>48</v>
      </c>
      <c r="I418" s="3">
        <v>27349.200000000001</v>
      </c>
      <c r="J418">
        <v>2</v>
      </c>
      <c r="K418" s="5">
        <v>0.1</v>
      </c>
      <c r="L418" s="3">
        <v>6245.33</v>
      </c>
      <c r="M418" t="s">
        <v>49</v>
      </c>
      <c r="N418">
        <f t="shared" si="12"/>
        <v>2024</v>
      </c>
      <c r="O418" t="str">
        <f t="shared" si="13"/>
        <v>September</v>
      </c>
    </row>
    <row r="419" spans="1:15" x14ac:dyDescent="0.2">
      <c r="A419" t="s">
        <v>528</v>
      </c>
      <c r="B419" s="7">
        <v>45335</v>
      </c>
      <c r="C419" t="s">
        <v>76</v>
      </c>
      <c r="D419" t="s">
        <v>23</v>
      </c>
      <c r="E419" t="s">
        <v>172</v>
      </c>
      <c r="F419" t="s">
        <v>210</v>
      </c>
      <c r="G419" t="s">
        <v>58</v>
      </c>
      <c r="H419" t="s">
        <v>84</v>
      </c>
      <c r="I419" s="3">
        <v>30022.85</v>
      </c>
      <c r="J419">
        <v>1</v>
      </c>
      <c r="K419" s="5">
        <v>0.15</v>
      </c>
      <c r="L419" s="3">
        <v>6241.81</v>
      </c>
      <c r="M419" t="s">
        <v>35</v>
      </c>
      <c r="N419">
        <f t="shared" si="12"/>
        <v>2024</v>
      </c>
      <c r="O419" t="str">
        <f t="shared" si="13"/>
        <v>February</v>
      </c>
    </row>
    <row r="420" spans="1:15" x14ac:dyDescent="0.2">
      <c r="A420" t="s">
        <v>529</v>
      </c>
      <c r="B420" s="7">
        <v>45584</v>
      </c>
      <c r="C420" t="s">
        <v>29</v>
      </c>
      <c r="D420" t="s">
        <v>15</v>
      </c>
      <c r="E420" t="s">
        <v>61</v>
      </c>
      <c r="F420" t="s">
        <v>144</v>
      </c>
      <c r="G420" t="s">
        <v>18</v>
      </c>
      <c r="H420" t="s">
        <v>63</v>
      </c>
      <c r="I420" s="3">
        <v>1615</v>
      </c>
      <c r="J420">
        <v>1</v>
      </c>
      <c r="K420" s="5">
        <v>0.15</v>
      </c>
      <c r="L420" s="3">
        <v>354.3</v>
      </c>
      <c r="M420" t="s">
        <v>40</v>
      </c>
      <c r="N420">
        <f t="shared" si="12"/>
        <v>2024</v>
      </c>
      <c r="O420" t="str">
        <f t="shared" si="13"/>
        <v>October</v>
      </c>
    </row>
    <row r="421" spans="1:15" x14ac:dyDescent="0.2">
      <c r="A421" t="s">
        <v>530</v>
      </c>
      <c r="B421" s="7">
        <v>46004</v>
      </c>
      <c r="C421" t="s">
        <v>51</v>
      </c>
      <c r="D421" t="s">
        <v>30</v>
      </c>
      <c r="E421" t="s">
        <v>104</v>
      </c>
      <c r="F421" t="s">
        <v>137</v>
      </c>
      <c r="G421" t="s">
        <v>18</v>
      </c>
      <c r="H421" t="s">
        <v>26</v>
      </c>
      <c r="I421" s="3">
        <v>130758</v>
      </c>
      <c r="J421">
        <v>8</v>
      </c>
      <c r="K421" s="5">
        <v>0.05</v>
      </c>
      <c r="L421" s="3">
        <v>29191.23</v>
      </c>
      <c r="M421" t="s">
        <v>40</v>
      </c>
      <c r="N421">
        <f t="shared" si="12"/>
        <v>2025</v>
      </c>
      <c r="O421" t="str">
        <f t="shared" si="13"/>
        <v>December</v>
      </c>
    </row>
    <row r="422" spans="1:15" x14ac:dyDescent="0.2">
      <c r="A422" t="s">
        <v>531</v>
      </c>
      <c r="B422" s="7">
        <v>46000</v>
      </c>
      <c r="C422" t="s">
        <v>55</v>
      </c>
      <c r="D422" t="s">
        <v>30</v>
      </c>
      <c r="E422" t="s">
        <v>122</v>
      </c>
      <c r="F422" t="s">
        <v>131</v>
      </c>
      <c r="G422" t="s">
        <v>42</v>
      </c>
      <c r="H422" t="s">
        <v>43</v>
      </c>
      <c r="I422" s="3">
        <v>22248</v>
      </c>
      <c r="J422">
        <v>3</v>
      </c>
      <c r="K422" s="5">
        <v>0</v>
      </c>
      <c r="L422" s="3">
        <v>2892.61</v>
      </c>
      <c r="M422" t="s">
        <v>20</v>
      </c>
      <c r="N422">
        <f t="shared" si="12"/>
        <v>2025</v>
      </c>
      <c r="O422" t="str">
        <f t="shared" si="13"/>
        <v>December</v>
      </c>
    </row>
    <row r="423" spans="1:15" x14ac:dyDescent="0.2">
      <c r="A423" t="s">
        <v>532</v>
      </c>
      <c r="B423" s="7">
        <v>45336</v>
      </c>
      <c r="C423" t="s">
        <v>55</v>
      </c>
      <c r="D423" t="s">
        <v>23</v>
      </c>
      <c r="E423" t="s">
        <v>82</v>
      </c>
      <c r="F423" t="s">
        <v>265</v>
      </c>
      <c r="G423" t="s">
        <v>58</v>
      </c>
      <c r="H423" t="s">
        <v>84</v>
      </c>
      <c r="I423" s="3">
        <v>290574.2</v>
      </c>
      <c r="J423">
        <v>7</v>
      </c>
      <c r="K423" s="5">
        <v>0.15</v>
      </c>
      <c r="L423" s="3">
        <v>44332.67</v>
      </c>
      <c r="M423" t="s">
        <v>27</v>
      </c>
      <c r="N423">
        <f t="shared" si="12"/>
        <v>2024</v>
      </c>
      <c r="O423" t="str">
        <f t="shared" si="13"/>
        <v>February</v>
      </c>
    </row>
    <row r="424" spans="1:15" x14ac:dyDescent="0.2">
      <c r="A424" t="s">
        <v>533</v>
      </c>
      <c r="B424" s="7">
        <v>45477</v>
      </c>
      <c r="C424" t="s">
        <v>37</v>
      </c>
      <c r="D424" t="s">
        <v>15</v>
      </c>
      <c r="E424" t="s">
        <v>46</v>
      </c>
      <c r="F424" t="s">
        <v>176</v>
      </c>
      <c r="G424" t="s">
        <v>33</v>
      </c>
      <c r="H424" t="s">
        <v>48</v>
      </c>
      <c r="I424" s="3">
        <v>1161.95</v>
      </c>
      <c r="J424">
        <v>1</v>
      </c>
      <c r="K424" s="5">
        <v>0.15</v>
      </c>
      <c r="L424" s="3">
        <v>116.49</v>
      </c>
      <c r="M424" t="s">
        <v>40</v>
      </c>
      <c r="N424">
        <f t="shared" si="12"/>
        <v>2024</v>
      </c>
      <c r="O424" t="str">
        <f t="shared" si="13"/>
        <v>July</v>
      </c>
    </row>
    <row r="425" spans="1:15" x14ac:dyDescent="0.2">
      <c r="A425" t="s">
        <v>534</v>
      </c>
      <c r="B425" s="7">
        <v>45797</v>
      </c>
      <c r="C425" t="s">
        <v>76</v>
      </c>
      <c r="D425" t="s">
        <v>23</v>
      </c>
      <c r="E425" t="s">
        <v>82</v>
      </c>
      <c r="F425" t="s">
        <v>83</v>
      </c>
      <c r="G425" t="s">
        <v>42</v>
      </c>
      <c r="H425" t="s">
        <v>102</v>
      </c>
      <c r="I425" s="3">
        <v>458080</v>
      </c>
      <c r="J425">
        <v>8</v>
      </c>
      <c r="K425" s="5">
        <v>0</v>
      </c>
      <c r="L425" s="3">
        <v>92347.46</v>
      </c>
      <c r="M425" t="s">
        <v>40</v>
      </c>
      <c r="N425">
        <f t="shared" si="12"/>
        <v>2025</v>
      </c>
      <c r="O425" t="str">
        <f t="shared" si="13"/>
        <v>May</v>
      </c>
    </row>
    <row r="426" spans="1:15" x14ac:dyDescent="0.2">
      <c r="A426" t="s">
        <v>535</v>
      </c>
      <c r="B426" s="7">
        <v>45935</v>
      </c>
      <c r="C426" t="s">
        <v>51</v>
      </c>
      <c r="D426" t="s">
        <v>15</v>
      </c>
      <c r="E426" t="s">
        <v>61</v>
      </c>
      <c r="F426" t="s">
        <v>62</v>
      </c>
      <c r="G426" t="s">
        <v>58</v>
      </c>
      <c r="H426" t="s">
        <v>59</v>
      </c>
      <c r="I426" s="3">
        <v>1763.2</v>
      </c>
      <c r="J426">
        <v>2</v>
      </c>
      <c r="K426" s="5">
        <v>0.2</v>
      </c>
      <c r="L426" s="3">
        <v>150.97</v>
      </c>
      <c r="M426" t="s">
        <v>40</v>
      </c>
      <c r="N426">
        <f t="shared" si="12"/>
        <v>2025</v>
      </c>
      <c r="O426" t="str">
        <f t="shared" si="13"/>
        <v>October</v>
      </c>
    </row>
    <row r="427" spans="1:15" x14ac:dyDescent="0.2">
      <c r="A427" t="s">
        <v>536</v>
      </c>
      <c r="B427" s="7">
        <v>45597</v>
      </c>
      <c r="C427" t="s">
        <v>45</v>
      </c>
      <c r="D427" t="s">
        <v>23</v>
      </c>
      <c r="E427" t="s">
        <v>24</v>
      </c>
      <c r="F427" t="s">
        <v>25</v>
      </c>
      <c r="G427" t="s">
        <v>33</v>
      </c>
      <c r="H427" t="s">
        <v>128</v>
      </c>
      <c r="I427" s="3">
        <v>17308.8</v>
      </c>
      <c r="J427">
        <v>6</v>
      </c>
      <c r="K427" s="5">
        <v>0.2</v>
      </c>
      <c r="L427" s="3">
        <v>3420.27</v>
      </c>
      <c r="M427" t="s">
        <v>20</v>
      </c>
      <c r="N427">
        <f t="shared" si="12"/>
        <v>2024</v>
      </c>
      <c r="O427" t="str">
        <f t="shared" si="13"/>
        <v>November</v>
      </c>
    </row>
    <row r="428" spans="1:15" x14ac:dyDescent="0.2">
      <c r="A428" t="s">
        <v>537</v>
      </c>
      <c r="B428" s="7">
        <v>45328</v>
      </c>
      <c r="C428" t="s">
        <v>37</v>
      </c>
      <c r="D428" t="s">
        <v>23</v>
      </c>
      <c r="E428" t="s">
        <v>82</v>
      </c>
      <c r="F428" t="s">
        <v>265</v>
      </c>
      <c r="G428" t="s">
        <v>58</v>
      </c>
      <c r="H428" t="s">
        <v>74</v>
      </c>
      <c r="I428" s="3">
        <v>164992</v>
      </c>
      <c r="J428">
        <v>5</v>
      </c>
      <c r="K428" s="5">
        <v>0.2</v>
      </c>
      <c r="L428" s="3">
        <v>16835.41</v>
      </c>
      <c r="M428" t="s">
        <v>27</v>
      </c>
      <c r="N428">
        <f t="shared" si="12"/>
        <v>2024</v>
      </c>
      <c r="O428" t="str">
        <f t="shared" si="13"/>
        <v>February</v>
      </c>
    </row>
    <row r="429" spans="1:15" x14ac:dyDescent="0.2">
      <c r="A429" t="s">
        <v>538</v>
      </c>
      <c r="B429" s="7">
        <v>45573</v>
      </c>
      <c r="C429" t="s">
        <v>45</v>
      </c>
      <c r="D429" t="s">
        <v>30</v>
      </c>
      <c r="E429" t="s">
        <v>104</v>
      </c>
      <c r="F429" t="s">
        <v>137</v>
      </c>
      <c r="G429" t="s">
        <v>58</v>
      </c>
      <c r="H429" t="s">
        <v>95</v>
      </c>
      <c r="I429" s="3">
        <v>32454</v>
      </c>
      <c r="J429">
        <v>2</v>
      </c>
      <c r="K429" s="5">
        <v>0</v>
      </c>
      <c r="L429" s="3">
        <v>7104.96</v>
      </c>
      <c r="M429" t="s">
        <v>35</v>
      </c>
      <c r="N429">
        <f t="shared" si="12"/>
        <v>2024</v>
      </c>
      <c r="O429" t="str">
        <f t="shared" si="13"/>
        <v>October</v>
      </c>
    </row>
    <row r="430" spans="1:15" x14ac:dyDescent="0.2">
      <c r="A430" t="s">
        <v>539</v>
      </c>
      <c r="B430" s="7">
        <v>46015</v>
      </c>
      <c r="C430" t="s">
        <v>68</v>
      </c>
      <c r="D430" t="s">
        <v>30</v>
      </c>
      <c r="E430" t="s">
        <v>72</v>
      </c>
      <c r="F430" t="s">
        <v>73</v>
      </c>
      <c r="G430" t="s">
        <v>33</v>
      </c>
      <c r="H430" t="s">
        <v>48</v>
      </c>
      <c r="I430" s="3">
        <v>2937.6</v>
      </c>
      <c r="J430">
        <v>1</v>
      </c>
      <c r="K430" s="5">
        <v>0.2</v>
      </c>
      <c r="L430" s="3">
        <v>636.80999999999995</v>
      </c>
      <c r="M430" t="s">
        <v>49</v>
      </c>
      <c r="N430">
        <f t="shared" si="12"/>
        <v>2025</v>
      </c>
      <c r="O430" t="str">
        <f t="shared" si="13"/>
        <v>December</v>
      </c>
    </row>
    <row r="431" spans="1:15" x14ac:dyDescent="0.2">
      <c r="A431" t="s">
        <v>540</v>
      </c>
      <c r="B431" s="7">
        <v>45530</v>
      </c>
      <c r="C431" t="s">
        <v>68</v>
      </c>
      <c r="D431" t="s">
        <v>15</v>
      </c>
      <c r="E431" t="s">
        <v>65</v>
      </c>
      <c r="F431" t="s">
        <v>147</v>
      </c>
      <c r="G431" t="s">
        <v>42</v>
      </c>
      <c r="H431" t="s">
        <v>119</v>
      </c>
      <c r="I431" s="3">
        <v>16089.2</v>
      </c>
      <c r="J431">
        <v>8</v>
      </c>
      <c r="K431" s="5">
        <v>0.05</v>
      </c>
      <c r="L431" s="3">
        <v>3929.51</v>
      </c>
      <c r="M431" t="s">
        <v>40</v>
      </c>
      <c r="N431">
        <f t="shared" si="12"/>
        <v>2024</v>
      </c>
      <c r="O431" t="str">
        <f t="shared" si="13"/>
        <v>August</v>
      </c>
    </row>
    <row r="432" spans="1:15" x14ac:dyDescent="0.2">
      <c r="A432" t="s">
        <v>541</v>
      </c>
      <c r="B432" s="7">
        <v>45650</v>
      </c>
      <c r="C432" t="s">
        <v>51</v>
      </c>
      <c r="D432" t="s">
        <v>23</v>
      </c>
      <c r="E432" t="s">
        <v>82</v>
      </c>
      <c r="F432" t="s">
        <v>240</v>
      </c>
      <c r="G432" t="s">
        <v>18</v>
      </c>
      <c r="H432" t="s">
        <v>63</v>
      </c>
      <c r="I432" s="3">
        <v>84201</v>
      </c>
      <c r="J432">
        <v>2</v>
      </c>
      <c r="K432" s="5">
        <v>0.15</v>
      </c>
      <c r="L432" s="3">
        <v>4344.6400000000003</v>
      </c>
      <c r="M432" t="s">
        <v>40</v>
      </c>
      <c r="N432">
        <f t="shared" si="12"/>
        <v>2024</v>
      </c>
      <c r="O432" t="str">
        <f t="shared" si="13"/>
        <v>December</v>
      </c>
    </row>
    <row r="433" spans="1:15" x14ac:dyDescent="0.2">
      <c r="A433" t="s">
        <v>542</v>
      </c>
      <c r="B433" s="7">
        <v>45408</v>
      </c>
      <c r="C433" t="s">
        <v>45</v>
      </c>
      <c r="D433" t="s">
        <v>23</v>
      </c>
      <c r="E433" t="s">
        <v>24</v>
      </c>
      <c r="F433" t="s">
        <v>77</v>
      </c>
      <c r="G433" t="s">
        <v>42</v>
      </c>
      <c r="H433" t="s">
        <v>119</v>
      </c>
      <c r="I433" s="3">
        <v>93955.5</v>
      </c>
      <c r="J433">
        <v>5</v>
      </c>
      <c r="K433" s="5">
        <v>0.1</v>
      </c>
      <c r="L433" s="3">
        <v>19580.939999999999</v>
      </c>
      <c r="M433" t="s">
        <v>27</v>
      </c>
      <c r="N433">
        <f t="shared" si="12"/>
        <v>2024</v>
      </c>
      <c r="O433" t="str">
        <f t="shared" si="13"/>
        <v>April</v>
      </c>
    </row>
    <row r="434" spans="1:15" x14ac:dyDescent="0.2">
      <c r="A434" t="s">
        <v>543</v>
      </c>
      <c r="B434" s="7">
        <v>45953</v>
      </c>
      <c r="C434" t="s">
        <v>55</v>
      </c>
      <c r="D434" t="s">
        <v>30</v>
      </c>
      <c r="E434" t="s">
        <v>72</v>
      </c>
      <c r="F434" t="s">
        <v>217</v>
      </c>
      <c r="G434" t="s">
        <v>18</v>
      </c>
      <c r="H434" t="s">
        <v>26</v>
      </c>
      <c r="I434" s="3">
        <v>60552.3</v>
      </c>
      <c r="J434">
        <v>6</v>
      </c>
      <c r="K434" s="5">
        <v>0.15</v>
      </c>
      <c r="L434" s="3">
        <v>12228.59</v>
      </c>
      <c r="M434" t="s">
        <v>49</v>
      </c>
      <c r="N434">
        <f t="shared" si="12"/>
        <v>2025</v>
      </c>
      <c r="O434" t="str">
        <f t="shared" si="13"/>
        <v>October</v>
      </c>
    </row>
    <row r="435" spans="1:15" x14ac:dyDescent="0.2">
      <c r="A435" t="s">
        <v>544</v>
      </c>
      <c r="B435" s="7">
        <v>45615</v>
      </c>
      <c r="C435" t="s">
        <v>51</v>
      </c>
      <c r="D435" t="s">
        <v>23</v>
      </c>
      <c r="E435" t="s">
        <v>38</v>
      </c>
      <c r="F435" t="s">
        <v>91</v>
      </c>
      <c r="G435" t="s">
        <v>42</v>
      </c>
      <c r="H435" t="s">
        <v>43</v>
      </c>
      <c r="I435" s="3">
        <v>44743.199999999997</v>
      </c>
      <c r="J435">
        <v>1</v>
      </c>
      <c r="K435" s="5">
        <v>0.2</v>
      </c>
      <c r="L435" s="3">
        <v>7829.74</v>
      </c>
      <c r="M435" t="s">
        <v>35</v>
      </c>
      <c r="N435">
        <f t="shared" si="12"/>
        <v>2024</v>
      </c>
      <c r="O435" t="str">
        <f t="shared" si="13"/>
        <v>November</v>
      </c>
    </row>
    <row r="436" spans="1:15" x14ac:dyDescent="0.2">
      <c r="A436" t="s">
        <v>545</v>
      </c>
      <c r="B436" s="7">
        <v>45461</v>
      </c>
      <c r="C436" t="s">
        <v>90</v>
      </c>
      <c r="D436" t="s">
        <v>23</v>
      </c>
      <c r="E436" t="s">
        <v>24</v>
      </c>
      <c r="F436" t="s">
        <v>77</v>
      </c>
      <c r="G436" t="s">
        <v>42</v>
      </c>
      <c r="H436" t="s">
        <v>119</v>
      </c>
      <c r="I436" s="3">
        <v>49929</v>
      </c>
      <c r="J436">
        <v>3</v>
      </c>
      <c r="K436" s="5">
        <v>0.15</v>
      </c>
      <c r="L436" s="3">
        <v>8378.19</v>
      </c>
      <c r="M436" t="s">
        <v>35</v>
      </c>
      <c r="N436">
        <f t="shared" si="12"/>
        <v>2024</v>
      </c>
      <c r="O436" t="str">
        <f t="shared" si="13"/>
        <v>June</v>
      </c>
    </row>
    <row r="437" spans="1:15" x14ac:dyDescent="0.2">
      <c r="A437" t="s">
        <v>546</v>
      </c>
      <c r="B437" s="7">
        <v>45535</v>
      </c>
      <c r="C437" t="s">
        <v>45</v>
      </c>
      <c r="D437" t="s">
        <v>30</v>
      </c>
      <c r="E437" t="s">
        <v>31</v>
      </c>
      <c r="F437" t="s">
        <v>188</v>
      </c>
      <c r="G437" t="s">
        <v>18</v>
      </c>
      <c r="H437" t="s">
        <v>19</v>
      </c>
      <c r="I437" s="3">
        <v>9363.6</v>
      </c>
      <c r="J437">
        <v>6</v>
      </c>
      <c r="K437" s="5">
        <v>0.15</v>
      </c>
      <c r="L437" s="3">
        <v>560.5</v>
      </c>
      <c r="M437" t="s">
        <v>49</v>
      </c>
      <c r="N437">
        <f t="shared" si="12"/>
        <v>2024</v>
      </c>
      <c r="O437" t="str">
        <f t="shared" si="13"/>
        <v>August</v>
      </c>
    </row>
    <row r="438" spans="1:15" x14ac:dyDescent="0.2">
      <c r="A438" t="s">
        <v>547</v>
      </c>
      <c r="B438" s="7">
        <v>45317</v>
      </c>
      <c r="C438" t="s">
        <v>29</v>
      </c>
      <c r="D438" t="s">
        <v>30</v>
      </c>
      <c r="E438" t="s">
        <v>31</v>
      </c>
      <c r="F438" t="s">
        <v>32</v>
      </c>
      <c r="G438" t="s">
        <v>42</v>
      </c>
      <c r="H438" t="s">
        <v>98</v>
      </c>
      <c r="I438" s="3">
        <v>12150</v>
      </c>
      <c r="J438">
        <v>6</v>
      </c>
      <c r="K438" s="5">
        <v>0</v>
      </c>
      <c r="L438" s="3">
        <v>2050.37</v>
      </c>
      <c r="M438" t="s">
        <v>35</v>
      </c>
      <c r="N438">
        <f t="shared" si="12"/>
        <v>2024</v>
      </c>
      <c r="O438" t="str">
        <f t="shared" si="13"/>
        <v>January</v>
      </c>
    </row>
    <row r="439" spans="1:15" x14ac:dyDescent="0.2">
      <c r="A439" t="s">
        <v>548</v>
      </c>
      <c r="B439" s="7">
        <v>45820</v>
      </c>
      <c r="C439" t="s">
        <v>55</v>
      </c>
      <c r="D439" t="s">
        <v>23</v>
      </c>
      <c r="E439" t="s">
        <v>24</v>
      </c>
      <c r="F439" t="s">
        <v>25</v>
      </c>
      <c r="G439" t="s">
        <v>42</v>
      </c>
      <c r="H439" t="s">
        <v>43</v>
      </c>
      <c r="I439" s="3">
        <v>260125</v>
      </c>
      <c r="J439">
        <v>5</v>
      </c>
      <c r="K439" s="5">
        <v>0</v>
      </c>
      <c r="L439" s="3">
        <v>63581.760000000002</v>
      </c>
      <c r="M439" t="s">
        <v>40</v>
      </c>
      <c r="N439">
        <f t="shared" si="12"/>
        <v>2025</v>
      </c>
      <c r="O439" t="str">
        <f t="shared" si="13"/>
        <v>June</v>
      </c>
    </row>
    <row r="440" spans="1:15" x14ac:dyDescent="0.2">
      <c r="A440" t="s">
        <v>549</v>
      </c>
      <c r="B440" s="7">
        <v>45633</v>
      </c>
      <c r="C440" t="s">
        <v>29</v>
      </c>
      <c r="D440" t="s">
        <v>15</v>
      </c>
      <c r="E440" t="s">
        <v>16</v>
      </c>
      <c r="F440" t="s">
        <v>230</v>
      </c>
      <c r="G440" t="s">
        <v>58</v>
      </c>
      <c r="H440" t="s">
        <v>59</v>
      </c>
      <c r="I440" s="3">
        <v>448</v>
      </c>
      <c r="J440">
        <v>2</v>
      </c>
      <c r="K440" s="5">
        <v>0.2</v>
      </c>
      <c r="L440" s="3">
        <v>91.56</v>
      </c>
      <c r="M440" t="s">
        <v>20</v>
      </c>
      <c r="N440">
        <f t="shared" si="12"/>
        <v>2024</v>
      </c>
      <c r="O440" t="str">
        <f t="shared" si="13"/>
        <v>December</v>
      </c>
    </row>
    <row r="441" spans="1:15" x14ac:dyDescent="0.2">
      <c r="A441" t="s">
        <v>550</v>
      </c>
      <c r="B441" s="7">
        <v>45575</v>
      </c>
      <c r="C441" t="s">
        <v>51</v>
      </c>
      <c r="D441" t="s">
        <v>23</v>
      </c>
      <c r="E441" t="s">
        <v>172</v>
      </c>
      <c r="F441" t="s">
        <v>173</v>
      </c>
      <c r="G441" t="s">
        <v>42</v>
      </c>
      <c r="H441" t="s">
        <v>102</v>
      </c>
      <c r="I441" s="3">
        <v>204568.25</v>
      </c>
      <c r="J441">
        <v>5</v>
      </c>
      <c r="K441" s="5">
        <v>0.05</v>
      </c>
      <c r="L441" s="3">
        <v>21686.1</v>
      </c>
      <c r="M441" t="s">
        <v>27</v>
      </c>
      <c r="N441">
        <f t="shared" si="12"/>
        <v>2024</v>
      </c>
      <c r="O441" t="str">
        <f t="shared" si="13"/>
        <v>October</v>
      </c>
    </row>
    <row r="442" spans="1:15" x14ac:dyDescent="0.2">
      <c r="A442" t="s">
        <v>551</v>
      </c>
      <c r="B442" s="7">
        <v>45847</v>
      </c>
      <c r="C442" t="s">
        <v>45</v>
      </c>
      <c r="D442" t="s">
        <v>30</v>
      </c>
      <c r="E442" t="s">
        <v>52</v>
      </c>
      <c r="F442" t="s">
        <v>53</v>
      </c>
      <c r="G442" t="s">
        <v>42</v>
      </c>
      <c r="H442" t="s">
        <v>98</v>
      </c>
      <c r="I442" s="3">
        <v>5196</v>
      </c>
      <c r="J442">
        <v>5</v>
      </c>
      <c r="K442" s="5">
        <v>0.2</v>
      </c>
      <c r="L442" s="3">
        <v>262.27</v>
      </c>
      <c r="M442" t="s">
        <v>35</v>
      </c>
      <c r="N442">
        <f t="shared" si="12"/>
        <v>2025</v>
      </c>
      <c r="O442" t="str">
        <f t="shared" si="13"/>
        <v>July</v>
      </c>
    </row>
    <row r="443" spans="1:15" x14ac:dyDescent="0.2">
      <c r="A443" t="s">
        <v>552</v>
      </c>
      <c r="B443" s="7">
        <v>45845</v>
      </c>
      <c r="C443" t="s">
        <v>29</v>
      </c>
      <c r="D443" t="s">
        <v>30</v>
      </c>
      <c r="E443" t="s">
        <v>104</v>
      </c>
      <c r="F443" t="s">
        <v>170</v>
      </c>
      <c r="G443" t="s">
        <v>33</v>
      </c>
      <c r="H443" t="s">
        <v>34</v>
      </c>
      <c r="I443" s="3">
        <v>10028.799999999999</v>
      </c>
      <c r="J443">
        <v>4</v>
      </c>
      <c r="K443" s="5">
        <v>0.2</v>
      </c>
      <c r="L443" s="3">
        <v>2090.4899999999998</v>
      </c>
      <c r="M443" t="s">
        <v>20</v>
      </c>
      <c r="N443">
        <f t="shared" si="12"/>
        <v>2025</v>
      </c>
      <c r="O443" t="str">
        <f t="shared" si="13"/>
        <v>July</v>
      </c>
    </row>
    <row r="444" spans="1:15" x14ac:dyDescent="0.2">
      <c r="A444" t="s">
        <v>553</v>
      </c>
      <c r="B444" s="7">
        <v>45902</v>
      </c>
      <c r="C444" t="s">
        <v>90</v>
      </c>
      <c r="D444" t="s">
        <v>23</v>
      </c>
      <c r="E444" t="s">
        <v>82</v>
      </c>
      <c r="F444" t="s">
        <v>265</v>
      </c>
      <c r="G444" t="s">
        <v>58</v>
      </c>
      <c r="H444" t="s">
        <v>95</v>
      </c>
      <c r="I444" s="3">
        <v>28113.75</v>
      </c>
      <c r="J444">
        <v>7</v>
      </c>
      <c r="K444" s="5">
        <v>0.15</v>
      </c>
      <c r="L444" s="3">
        <v>2201.21</v>
      </c>
      <c r="M444" t="s">
        <v>49</v>
      </c>
      <c r="N444">
        <f t="shared" si="12"/>
        <v>2025</v>
      </c>
      <c r="O444" t="str">
        <f t="shared" si="13"/>
        <v>September</v>
      </c>
    </row>
    <row r="445" spans="1:15" x14ac:dyDescent="0.2">
      <c r="A445" t="s">
        <v>554</v>
      </c>
      <c r="B445" s="7">
        <v>46007</v>
      </c>
      <c r="C445" t="s">
        <v>29</v>
      </c>
      <c r="D445" t="s">
        <v>15</v>
      </c>
      <c r="E445" t="s">
        <v>65</v>
      </c>
      <c r="F445" t="s">
        <v>147</v>
      </c>
      <c r="G445" t="s">
        <v>42</v>
      </c>
      <c r="H445" t="s">
        <v>119</v>
      </c>
      <c r="I445" s="3">
        <v>4607.5</v>
      </c>
      <c r="J445">
        <v>2</v>
      </c>
      <c r="K445" s="5">
        <v>0.05</v>
      </c>
      <c r="L445" s="3">
        <v>396.63</v>
      </c>
      <c r="M445" t="s">
        <v>20</v>
      </c>
      <c r="N445">
        <f t="shared" si="12"/>
        <v>2025</v>
      </c>
      <c r="O445" t="str">
        <f t="shared" si="13"/>
        <v>December</v>
      </c>
    </row>
    <row r="446" spans="1:15" x14ac:dyDescent="0.2">
      <c r="A446" t="s">
        <v>555</v>
      </c>
      <c r="B446" s="7">
        <v>45973</v>
      </c>
      <c r="C446" t="s">
        <v>45</v>
      </c>
      <c r="D446" t="s">
        <v>30</v>
      </c>
      <c r="E446" t="s">
        <v>104</v>
      </c>
      <c r="F446" t="s">
        <v>105</v>
      </c>
      <c r="G446" t="s">
        <v>58</v>
      </c>
      <c r="H446" t="s">
        <v>59</v>
      </c>
      <c r="I446" s="3">
        <v>31467</v>
      </c>
      <c r="J446">
        <v>4</v>
      </c>
      <c r="K446" s="5">
        <v>0.15</v>
      </c>
      <c r="L446" s="3">
        <v>2491.2600000000002</v>
      </c>
      <c r="M446" t="s">
        <v>27</v>
      </c>
      <c r="N446">
        <f t="shared" si="12"/>
        <v>2025</v>
      </c>
      <c r="O446" t="str">
        <f t="shared" si="13"/>
        <v>November</v>
      </c>
    </row>
    <row r="447" spans="1:15" x14ac:dyDescent="0.2">
      <c r="A447" t="s">
        <v>556</v>
      </c>
      <c r="B447" s="7">
        <v>45648</v>
      </c>
      <c r="C447" t="s">
        <v>90</v>
      </c>
      <c r="D447" t="s">
        <v>30</v>
      </c>
      <c r="E447" t="s">
        <v>122</v>
      </c>
      <c r="F447" t="s">
        <v>160</v>
      </c>
      <c r="G447" t="s">
        <v>18</v>
      </c>
      <c r="H447" t="s">
        <v>70</v>
      </c>
      <c r="I447" s="3">
        <v>31319.599999999999</v>
      </c>
      <c r="J447">
        <v>2</v>
      </c>
      <c r="K447" s="5">
        <v>0.05</v>
      </c>
      <c r="L447" s="3">
        <v>3882.11</v>
      </c>
      <c r="M447" t="s">
        <v>35</v>
      </c>
      <c r="N447">
        <f t="shared" si="12"/>
        <v>2024</v>
      </c>
      <c r="O447" t="str">
        <f t="shared" si="13"/>
        <v>December</v>
      </c>
    </row>
    <row r="448" spans="1:15" x14ac:dyDescent="0.2">
      <c r="A448" t="s">
        <v>557</v>
      </c>
      <c r="B448" s="7">
        <v>45896</v>
      </c>
      <c r="C448" t="s">
        <v>22</v>
      </c>
      <c r="D448" t="s">
        <v>23</v>
      </c>
      <c r="E448" t="s">
        <v>172</v>
      </c>
      <c r="F448" t="s">
        <v>173</v>
      </c>
      <c r="G448" t="s">
        <v>18</v>
      </c>
      <c r="H448" t="s">
        <v>63</v>
      </c>
      <c r="I448" s="3">
        <v>36089.599999999999</v>
      </c>
      <c r="J448">
        <v>2</v>
      </c>
      <c r="K448" s="5">
        <v>0.2</v>
      </c>
      <c r="L448" s="3">
        <v>4409.97</v>
      </c>
      <c r="M448" t="s">
        <v>40</v>
      </c>
      <c r="N448">
        <f t="shared" si="12"/>
        <v>2025</v>
      </c>
      <c r="O448" t="str">
        <f t="shared" si="13"/>
        <v>August</v>
      </c>
    </row>
    <row r="449" spans="1:15" x14ac:dyDescent="0.2">
      <c r="A449" t="s">
        <v>558</v>
      </c>
      <c r="B449" s="7">
        <v>45642</v>
      </c>
      <c r="C449" t="s">
        <v>51</v>
      </c>
      <c r="D449" t="s">
        <v>15</v>
      </c>
      <c r="E449" t="s">
        <v>46</v>
      </c>
      <c r="F449" t="s">
        <v>47</v>
      </c>
      <c r="G449" t="s">
        <v>33</v>
      </c>
      <c r="H449" t="s">
        <v>109</v>
      </c>
      <c r="I449" s="3">
        <v>3170.5</v>
      </c>
      <c r="J449">
        <v>2</v>
      </c>
      <c r="K449" s="5">
        <v>0.15</v>
      </c>
      <c r="L449" s="3">
        <v>494.41</v>
      </c>
      <c r="M449" t="s">
        <v>40</v>
      </c>
      <c r="N449">
        <f t="shared" si="12"/>
        <v>2024</v>
      </c>
      <c r="O449" t="str">
        <f t="shared" si="13"/>
        <v>December</v>
      </c>
    </row>
    <row r="450" spans="1:15" x14ac:dyDescent="0.2">
      <c r="A450" t="s">
        <v>559</v>
      </c>
      <c r="B450" s="7">
        <v>45707</v>
      </c>
      <c r="C450" t="s">
        <v>37</v>
      </c>
      <c r="D450" t="s">
        <v>23</v>
      </c>
      <c r="E450" t="s">
        <v>82</v>
      </c>
      <c r="F450" t="s">
        <v>240</v>
      </c>
      <c r="G450" t="s">
        <v>58</v>
      </c>
      <c r="H450" t="s">
        <v>95</v>
      </c>
      <c r="I450" s="3">
        <v>171174.8</v>
      </c>
      <c r="J450">
        <v>8</v>
      </c>
      <c r="K450" s="5">
        <v>0.05</v>
      </c>
      <c r="L450" s="3">
        <v>22099.89</v>
      </c>
      <c r="M450" t="s">
        <v>35</v>
      </c>
      <c r="N450">
        <f t="shared" ref="N450:N513" si="14">YEAR(B450)</f>
        <v>2025</v>
      </c>
      <c r="O450" t="str">
        <f t="shared" ref="O450:O513" si="15">TEXT(B450,"mmmm")</f>
        <v>February</v>
      </c>
    </row>
    <row r="451" spans="1:15" x14ac:dyDescent="0.2">
      <c r="A451" t="s">
        <v>560</v>
      </c>
      <c r="B451" s="7">
        <v>45943</v>
      </c>
      <c r="C451" t="s">
        <v>14</v>
      </c>
      <c r="D451" t="s">
        <v>23</v>
      </c>
      <c r="E451" t="s">
        <v>172</v>
      </c>
      <c r="F451" t="s">
        <v>210</v>
      </c>
      <c r="G451" t="s">
        <v>58</v>
      </c>
      <c r="H451" t="s">
        <v>84</v>
      </c>
      <c r="I451" s="3">
        <v>5706.4</v>
      </c>
      <c r="J451">
        <v>1</v>
      </c>
      <c r="K451" s="5">
        <v>0.2</v>
      </c>
      <c r="L451" s="3">
        <v>1202.06</v>
      </c>
      <c r="M451" t="s">
        <v>40</v>
      </c>
      <c r="N451">
        <f t="shared" si="14"/>
        <v>2025</v>
      </c>
      <c r="O451" t="str">
        <f t="shared" si="15"/>
        <v>October</v>
      </c>
    </row>
    <row r="452" spans="1:15" x14ac:dyDescent="0.2">
      <c r="A452" t="s">
        <v>561</v>
      </c>
      <c r="B452" s="7">
        <v>45987</v>
      </c>
      <c r="C452" t="s">
        <v>68</v>
      </c>
      <c r="D452" t="s">
        <v>15</v>
      </c>
      <c r="E452" t="s">
        <v>46</v>
      </c>
      <c r="F452" t="s">
        <v>47</v>
      </c>
      <c r="G452" t="s">
        <v>58</v>
      </c>
      <c r="H452" t="s">
        <v>84</v>
      </c>
      <c r="I452" s="3">
        <v>10051.200000000001</v>
      </c>
      <c r="J452">
        <v>8</v>
      </c>
      <c r="K452" s="5">
        <v>0.1</v>
      </c>
      <c r="L452" s="3">
        <v>1699.21</v>
      </c>
      <c r="M452" t="s">
        <v>49</v>
      </c>
      <c r="N452">
        <f t="shared" si="14"/>
        <v>2025</v>
      </c>
      <c r="O452" t="str">
        <f t="shared" si="15"/>
        <v>November</v>
      </c>
    </row>
    <row r="453" spans="1:15" x14ac:dyDescent="0.2">
      <c r="A453" t="s">
        <v>562</v>
      </c>
      <c r="B453" s="7">
        <v>45854</v>
      </c>
      <c r="C453" t="s">
        <v>14</v>
      </c>
      <c r="D453" t="s">
        <v>15</v>
      </c>
      <c r="E453" t="s">
        <v>65</v>
      </c>
      <c r="F453" t="s">
        <v>222</v>
      </c>
      <c r="G453" t="s">
        <v>18</v>
      </c>
      <c r="H453" t="s">
        <v>70</v>
      </c>
      <c r="I453" s="3">
        <v>9128</v>
      </c>
      <c r="J453">
        <v>7</v>
      </c>
      <c r="K453" s="5">
        <v>0</v>
      </c>
      <c r="L453" s="3">
        <v>1404.29</v>
      </c>
      <c r="M453" t="s">
        <v>20</v>
      </c>
      <c r="N453">
        <f t="shared" si="14"/>
        <v>2025</v>
      </c>
      <c r="O453" t="str">
        <f t="shared" si="15"/>
        <v>July</v>
      </c>
    </row>
    <row r="454" spans="1:15" x14ac:dyDescent="0.2">
      <c r="A454" t="s">
        <v>563</v>
      </c>
      <c r="B454" s="7">
        <v>45707</v>
      </c>
      <c r="C454" t="s">
        <v>22</v>
      </c>
      <c r="D454" t="s">
        <v>15</v>
      </c>
      <c r="E454" t="s">
        <v>56</v>
      </c>
      <c r="F454" t="s">
        <v>57</v>
      </c>
      <c r="G454" t="s">
        <v>42</v>
      </c>
      <c r="H454" t="s">
        <v>102</v>
      </c>
      <c r="I454" s="3">
        <v>1542.6</v>
      </c>
      <c r="J454">
        <v>1</v>
      </c>
      <c r="K454" s="5">
        <v>0.1</v>
      </c>
      <c r="L454" s="3">
        <v>304.44</v>
      </c>
      <c r="M454" t="s">
        <v>49</v>
      </c>
      <c r="N454">
        <f t="shared" si="14"/>
        <v>2025</v>
      </c>
      <c r="O454" t="str">
        <f t="shared" si="15"/>
        <v>February</v>
      </c>
    </row>
    <row r="455" spans="1:15" x14ac:dyDescent="0.2">
      <c r="A455" t="s">
        <v>564</v>
      </c>
      <c r="B455" s="7">
        <v>45978</v>
      </c>
      <c r="C455" t="s">
        <v>55</v>
      </c>
      <c r="D455" t="s">
        <v>15</v>
      </c>
      <c r="E455" t="s">
        <v>46</v>
      </c>
      <c r="F455" t="s">
        <v>176</v>
      </c>
      <c r="G455" t="s">
        <v>33</v>
      </c>
      <c r="H455" t="s">
        <v>109</v>
      </c>
      <c r="I455" s="3">
        <v>5355</v>
      </c>
      <c r="J455">
        <v>4</v>
      </c>
      <c r="K455" s="5">
        <v>0.15</v>
      </c>
      <c r="L455" s="3">
        <v>392.81</v>
      </c>
      <c r="M455" t="s">
        <v>40</v>
      </c>
      <c r="N455">
        <f t="shared" si="14"/>
        <v>2025</v>
      </c>
      <c r="O455" t="str">
        <f t="shared" si="15"/>
        <v>November</v>
      </c>
    </row>
    <row r="456" spans="1:15" x14ac:dyDescent="0.2">
      <c r="A456" t="s">
        <v>565</v>
      </c>
      <c r="B456" s="7">
        <v>45717</v>
      </c>
      <c r="C456" t="s">
        <v>29</v>
      </c>
      <c r="D456" t="s">
        <v>23</v>
      </c>
      <c r="E456" t="s">
        <v>82</v>
      </c>
      <c r="F456" t="s">
        <v>240</v>
      </c>
      <c r="G456" t="s">
        <v>18</v>
      </c>
      <c r="H456" t="s">
        <v>26</v>
      </c>
      <c r="I456" s="3">
        <v>354536</v>
      </c>
      <c r="J456">
        <v>8</v>
      </c>
      <c r="K456" s="5">
        <v>0</v>
      </c>
      <c r="L456" s="3">
        <v>38092.79</v>
      </c>
      <c r="M456" t="s">
        <v>35</v>
      </c>
      <c r="N456">
        <f t="shared" si="14"/>
        <v>2025</v>
      </c>
      <c r="O456" t="str">
        <f t="shared" si="15"/>
        <v>March</v>
      </c>
    </row>
    <row r="457" spans="1:15" x14ac:dyDescent="0.2">
      <c r="A457" t="s">
        <v>566</v>
      </c>
      <c r="B457" s="7">
        <v>45726</v>
      </c>
      <c r="C457" t="s">
        <v>90</v>
      </c>
      <c r="D457" t="s">
        <v>30</v>
      </c>
      <c r="E457" t="s">
        <v>72</v>
      </c>
      <c r="F457" t="s">
        <v>73</v>
      </c>
      <c r="G457" t="s">
        <v>33</v>
      </c>
      <c r="H457" t="s">
        <v>109</v>
      </c>
      <c r="I457" s="3">
        <v>97946.1</v>
      </c>
      <c r="J457">
        <v>7</v>
      </c>
      <c r="K457" s="5">
        <v>0.1</v>
      </c>
      <c r="L457" s="3">
        <v>9809.1200000000008</v>
      </c>
      <c r="M457" t="s">
        <v>20</v>
      </c>
      <c r="N457">
        <f t="shared" si="14"/>
        <v>2025</v>
      </c>
      <c r="O457" t="str">
        <f t="shared" si="15"/>
        <v>March</v>
      </c>
    </row>
    <row r="458" spans="1:15" x14ac:dyDescent="0.2">
      <c r="A458" t="s">
        <v>567</v>
      </c>
      <c r="B458" s="7">
        <v>45407</v>
      </c>
      <c r="C458" t="s">
        <v>90</v>
      </c>
      <c r="D458" t="s">
        <v>15</v>
      </c>
      <c r="E458" t="s">
        <v>61</v>
      </c>
      <c r="F458" t="s">
        <v>62</v>
      </c>
      <c r="G458" t="s">
        <v>33</v>
      </c>
      <c r="H458" t="s">
        <v>34</v>
      </c>
      <c r="I458" s="3">
        <v>12377.7</v>
      </c>
      <c r="J458">
        <v>6</v>
      </c>
      <c r="K458" s="5">
        <v>0.15</v>
      </c>
      <c r="L458" s="3">
        <v>2271.02</v>
      </c>
      <c r="M458" t="s">
        <v>49</v>
      </c>
      <c r="N458">
        <f t="shared" si="14"/>
        <v>2024</v>
      </c>
      <c r="O458" t="str">
        <f t="shared" si="15"/>
        <v>April</v>
      </c>
    </row>
    <row r="459" spans="1:15" x14ac:dyDescent="0.2">
      <c r="A459" t="s">
        <v>568</v>
      </c>
      <c r="B459" s="7">
        <v>45971</v>
      </c>
      <c r="C459" t="s">
        <v>37</v>
      </c>
      <c r="D459" t="s">
        <v>15</v>
      </c>
      <c r="E459" t="s">
        <v>16</v>
      </c>
      <c r="F459" t="s">
        <v>204</v>
      </c>
      <c r="G459" t="s">
        <v>33</v>
      </c>
      <c r="H459" t="s">
        <v>34</v>
      </c>
      <c r="I459" s="3">
        <v>1876.8</v>
      </c>
      <c r="J459">
        <v>2</v>
      </c>
      <c r="K459" s="5">
        <v>0.15</v>
      </c>
      <c r="L459" s="3">
        <v>316.49</v>
      </c>
      <c r="M459" t="s">
        <v>35</v>
      </c>
      <c r="N459">
        <f t="shared" si="14"/>
        <v>2025</v>
      </c>
      <c r="O459" t="str">
        <f t="shared" si="15"/>
        <v>November</v>
      </c>
    </row>
    <row r="460" spans="1:15" x14ac:dyDescent="0.2">
      <c r="A460" t="s">
        <v>569</v>
      </c>
      <c r="B460" s="7">
        <v>45631</v>
      </c>
      <c r="C460" t="s">
        <v>22</v>
      </c>
      <c r="D460" t="s">
        <v>15</v>
      </c>
      <c r="E460" t="s">
        <v>65</v>
      </c>
      <c r="F460" t="s">
        <v>222</v>
      </c>
      <c r="G460" t="s">
        <v>18</v>
      </c>
      <c r="H460" t="s">
        <v>19</v>
      </c>
      <c r="I460" s="3">
        <v>1869.15</v>
      </c>
      <c r="J460">
        <v>1</v>
      </c>
      <c r="K460" s="5">
        <v>0.15</v>
      </c>
      <c r="L460" s="3">
        <v>294</v>
      </c>
      <c r="M460" t="s">
        <v>27</v>
      </c>
      <c r="N460">
        <f t="shared" si="14"/>
        <v>2024</v>
      </c>
      <c r="O460" t="str">
        <f t="shared" si="15"/>
        <v>December</v>
      </c>
    </row>
    <row r="461" spans="1:15" x14ac:dyDescent="0.2">
      <c r="A461" t="s">
        <v>570</v>
      </c>
      <c r="B461" s="7">
        <v>45878</v>
      </c>
      <c r="C461" t="s">
        <v>14</v>
      </c>
      <c r="D461" t="s">
        <v>30</v>
      </c>
      <c r="E461" t="s">
        <v>104</v>
      </c>
      <c r="F461" t="s">
        <v>170</v>
      </c>
      <c r="G461" t="s">
        <v>33</v>
      </c>
      <c r="H461" t="s">
        <v>128</v>
      </c>
      <c r="I461" s="3">
        <v>39669.5</v>
      </c>
      <c r="J461">
        <v>5</v>
      </c>
      <c r="K461" s="5">
        <v>0.15</v>
      </c>
      <c r="L461" s="3">
        <v>6272.87</v>
      </c>
      <c r="M461" t="s">
        <v>27</v>
      </c>
      <c r="N461">
        <f t="shared" si="14"/>
        <v>2025</v>
      </c>
      <c r="O461" t="str">
        <f t="shared" si="15"/>
        <v>August</v>
      </c>
    </row>
    <row r="462" spans="1:15" x14ac:dyDescent="0.2">
      <c r="A462" t="s">
        <v>571</v>
      </c>
      <c r="B462" s="7">
        <v>45922</v>
      </c>
      <c r="C462" t="s">
        <v>68</v>
      </c>
      <c r="D462" t="s">
        <v>15</v>
      </c>
      <c r="E462" t="s">
        <v>56</v>
      </c>
      <c r="F462" t="s">
        <v>57</v>
      </c>
      <c r="G462" t="s">
        <v>18</v>
      </c>
      <c r="H462" t="s">
        <v>19</v>
      </c>
      <c r="I462" s="3">
        <v>745.2</v>
      </c>
      <c r="J462">
        <v>2</v>
      </c>
      <c r="K462" s="5">
        <v>0.1</v>
      </c>
      <c r="L462" s="3">
        <v>78.55</v>
      </c>
      <c r="M462" t="s">
        <v>27</v>
      </c>
      <c r="N462">
        <f t="shared" si="14"/>
        <v>2025</v>
      </c>
      <c r="O462" t="str">
        <f t="shared" si="15"/>
        <v>September</v>
      </c>
    </row>
    <row r="463" spans="1:15" x14ac:dyDescent="0.2">
      <c r="A463" t="s">
        <v>572</v>
      </c>
      <c r="B463" s="7">
        <v>46009</v>
      </c>
      <c r="C463" t="s">
        <v>76</v>
      </c>
      <c r="D463" t="s">
        <v>30</v>
      </c>
      <c r="E463" t="s">
        <v>52</v>
      </c>
      <c r="F463" t="s">
        <v>118</v>
      </c>
      <c r="G463" t="s">
        <v>18</v>
      </c>
      <c r="H463" t="s">
        <v>26</v>
      </c>
      <c r="I463" s="3">
        <v>43989.75</v>
      </c>
      <c r="J463">
        <v>3</v>
      </c>
      <c r="K463" s="5">
        <v>0.05</v>
      </c>
      <c r="L463" s="3">
        <v>5267.8</v>
      </c>
      <c r="M463" t="s">
        <v>49</v>
      </c>
      <c r="N463">
        <f t="shared" si="14"/>
        <v>2025</v>
      </c>
      <c r="O463" t="str">
        <f t="shared" si="15"/>
        <v>December</v>
      </c>
    </row>
    <row r="464" spans="1:15" x14ac:dyDescent="0.2">
      <c r="A464" t="s">
        <v>573</v>
      </c>
      <c r="B464" s="7">
        <v>45535</v>
      </c>
      <c r="C464" t="s">
        <v>29</v>
      </c>
      <c r="D464" t="s">
        <v>23</v>
      </c>
      <c r="E464" t="s">
        <v>172</v>
      </c>
      <c r="F464" t="s">
        <v>182</v>
      </c>
      <c r="G464" t="s">
        <v>18</v>
      </c>
      <c r="H464" t="s">
        <v>19</v>
      </c>
      <c r="I464" s="3">
        <v>102583.95</v>
      </c>
      <c r="J464">
        <v>3</v>
      </c>
      <c r="K464" s="5">
        <v>0.15</v>
      </c>
      <c r="L464" s="3">
        <v>20165.29</v>
      </c>
      <c r="M464" t="s">
        <v>40</v>
      </c>
      <c r="N464">
        <f t="shared" si="14"/>
        <v>2024</v>
      </c>
      <c r="O464" t="str">
        <f t="shared" si="15"/>
        <v>August</v>
      </c>
    </row>
    <row r="465" spans="1:15" x14ac:dyDescent="0.2">
      <c r="A465" t="s">
        <v>574</v>
      </c>
      <c r="B465" s="7">
        <v>45779</v>
      </c>
      <c r="C465" t="s">
        <v>68</v>
      </c>
      <c r="D465" t="s">
        <v>23</v>
      </c>
      <c r="E465" t="s">
        <v>172</v>
      </c>
      <c r="F465" t="s">
        <v>173</v>
      </c>
      <c r="G465" t="s">
        <v>42</v>
      </c>
      <c r="H465" t="s">
        <v>102</v>
      </c>
      <c r="I465" s="3">
        <v>240877.25</v>
      </c>
      <c r="J465">
        <v>5</v>
      </c>
      <c r="K465" s="5">
        <v>0.05</v>
      </c>
      <c r="L465" s="3">
        <v>38613.339999999997</v>
      </c>
      <c r="M465" t="s">
        <v>49</v>
      </c>
      <c r="N465">
        <f t="shared" si="14"/>
        <v>2025</v>
      </c>
      <c r="O465" t="str">
        <f t="shared" si="15"/>
        <v>May</v>
      </c>
    </row>
    <row r="466" spans="1:15" x14ac:dyDescent="0.2">
      <c r="A466" t="s">
        <v>575</v>
      </c>
      <c r="B466" s="7">
        <v>45304</v>
      </c>
      <c r="C466" t="s">
        <v>68</v>
      </c>
      <c r="D466" t="s">
        <v>15</v>
      </c>
      <c r="E466" t="s">
        <v>56</v>
      </c>
      <c r="F466" t="s">
        <v>100</v>
      </c>
      <c r="G466" t="s">
        <v>33</v>
      </c>
      <c r="H466" t="s">
        <v>109</v>
      </c>
      <c r="I466" s="3">
        <v>3886.4</v>
      </c>
      <c r="J466">
        <v>7</v>
      </c>
      <c r="K466" s="5">
        <v>0.2</v>
      </c>
      <c r="L466" s="3">
        <v>793.04</v>
      </c>
      <c r="M466" t="s">
        <v>49</v>
      </c>
      <c r="N466">
        <f t="shared" si="14"/>
        <v>2024</v>
      </c>
      <c r="O466" t="str">
        <f t="shared" si="15"/>
        <v>January</v>
      </c>
    </row>
    <row r="467" spans="1:15" x14ac:dyDescent="0.2">
      <c r="A467" t="s">
        <v>576</v>
      </c>
      <c r="B467" s="7">
        <v>45392</v>
      </c>
      <c r="C467" t="s">
        <v>68</v>
      </c>
      <c r="D467" t="s">
        <v>30</v>
      </c>
      <c r="E467" t="s">
        <v>104</v>
      </c>
      <c r="F467" t="s">
        <v>170</v>
      </c>
      <c r="G467" t="s">
        <v>18</v>
      </c>
      <c r="H467" t="s">
        <v>70</v>
      </c>
      <c r="I467" s="3">
        <v>80719.199999999997</v>
      </c>
      <c r="J467">
        <v>6</v>
      </c>
      <c r="K467" s="5">
        <v>0.1</v>
      </c>
      <c r="L467" s="3">
        <v>8803.66</v>
      </c>
      <c r="M467" t="s">
        <v>35</v>
      </c>
      <c r="N467">
        <f t="shared" si="14"/>
        <v>2024</v>
      </c>
      <c r="O467" t="str">
        <f t="shared" si="15"/>
        <v>April</v>
      </c>
    </row>
    <row r="468" spans="1:15" x14ac:dyDescent="0.2">
      <c r="A468" t="s">
        <v>577</v>
      </c>
      <c r="B468" s="7">
        <v>45300</v>
      </c>
      <c r="C468" t="s">
        <v>37</v>
      </c>
      <c r="D468" t="s">
        <v>30</v>
      </c>
      <c r="E468" t="s">
        <v>122</v>
      </c>
      <c r="F468" t="s">
        <v>123</v>
      </c>
      <c r="G468" t="s">
        <v>33</v>
      </c>
      <c r="H468" t="s">
        <v>48</v>
      </c>
      <c r="I468" s="3">
        <v>32136</v>
      </c>
      <c r="J468">
        <v>6</v>
      </c>
      <c r="K468" s="5">
        <v>0.2</v>
      </c>
      <c r="L468" s="3">
        <v>1032.07</v>
      </c>
      <c r="M468" t="s">
        <v>20</v>
      </c>
      <c r="N468">
        <f t="shared" si="14"/>
        <v>2024</v>
      </c>
      <c r="O468" t="str">
        <f t="shared" si="15"/>
        <v>January</v>
      </c>
    </row>
    <row r="469" spans="1:15" x14ac:dyDescent="0.2">
      <c r="A469" t="s">
        <v>578</v>
      </c>
      <c r="B469" s="7">
        <v>45926</v>
      </c>
      <c r="C469" t="s">
        <v>37</v>
      </c>
      <c r="D469" t="s">
        <v>30</v>
      </c>
      <c r="E469" t="s">
        <v>52</v>
      </c>
      <c r="F469" t="s">
        <v>127</v>
      </c>
      <c r="G469" t="s">
        <v>18</v>
      </c>
      <c r="H469" t="s">
        <v>63</v>
      </c>
      <c r="I469" s="3">
        <v>38315.4</v>
      </c>
      <c r="J469">
        <v>4</v>
      </c>
      <c r="K469" s="5">
        <v>0.05</v>
      </c>
      <c r="L469" s="3">
        <v>2847.15</v>
      </c>
      <c r="M469" t="s">
        <v>20</v>
      </c>
      <c r="N469">
        <f t="shared" si="14"/>
        <v>2025</v>
      </c>
      <c r="O469" t="str">
        <f t="shared" si="15"/>
        <v>September</v>
      </c>
    </row>
    <row r="470" spans="1:15" x14ac:dyDescent="0.2">
      <c r="A470" t="s">
        <v>579</v>
      </c>
      <c r="B470" s="7">
        <v>45770</v>
      </c>
      <c r="C470" t="s">
        <v>37</v>
      </c>
      <c r="D470" t="s">
        <v>15</v>
      </c>
      <c r="E470" t="s">
        <v>46</v>
      </c>
      <c r="F470" t="s">
        <v>176</v>
      </c>
      <c r="G470" t="s">
        <v>18</v>
      </c>
      <c r="H470" t="s">
        <v>70</v>
      </c>
      <c r="I470" s="3">
        <v>1578.9</v>
      </c>
      <c r="J470">
        <v>3</v>
      </c>
      <c r="K470" s="5">
        <v>0.05</v>
      </c>
      <c r="L470" s="3">
        <v>186.57</v>
      </c>
      <c r="M470" t="s">
        <v>49</v>
      </c>
      <c r="N470">
        <f t="shared" si="14"/>
        <v>2025</v>
      </c>
      <c r="O470" t="str">
        <f t="shared" si="15"/>
        <v>April</v>
      </c>
    </row>
    <row r="471" spans="1:15" x14ac:dyDescent="0.2">
      <c r="A471" t="s">
        <v>580</v>
      </c>
      <c r="B471" s="7">
        <v>45353</v>
      </c>
      <c r="C471" t="s">
        <v>68</v>
      </c>
      <c r="D471" t="s">
        <v>30</v>
      </c>
      <c r="E471" t="s">
        <v>122</v>
      </c>
      <c r="F471" t="s">
        <v>131</v>
      </c>
      <c r="G471" t="s">
        <v>42</v>
      </c>
      <c r="H471" t="s">
        <v>119</v>
      </c>
      <c r="I471" s="3">
        <v>4834.8</v>
      </c>
      <c r="J471">
        <v>2</v>
      </c>
      <c r="K471" s="5">
        <v>0.15</v>
      </c>
      <c r="L471" s="3">
        <v>527.14</v>
      </c>
      <c r="M471" t="s">
        <v>27</v>
      </c>
      <c r="N471">
        <f t="shared" si="14"/>
        <v>2024</v>
      </c>
      <c r="O471" t="str">
        <f t="shared" si="15"/>
        <v>March</v>
      </c>
    </row>
    <row r="472" spans="1:15" x14ac:dyDescent="0.2">
      <c r="A472" t="s">
        <v>581</v>
      </c>
      <c r="B472" s="7">
        <v>45733</v>
      </c>
      <c r="C472" t="s">
        <v>76</v>
      </c>
      <c r="D472" t="s">
        <v>23</v>
      </c>
      <c r="E472" t="s">
        <v>38</v>
      </c>
      <c r="F472" t="s">
        <v>140</v>
      </c>
      <c r="G472" t="s">
        <v>18</v>
      </c>
      <c r="H472" t="s">
        <v>63</v>
      </c>
      <c r="I472" s="3">
        <v>85745.1</v>
      </c>
      <c r="J472">
        <v>7</v>
      </c>
      <c r="K472" s="5">
        <v>0.05</v>
      </c>
      <c r="L472" s="3">
        <v>15059.11</v>
      </c>
      <c r="M472" t="s">
        <v>35</v>
      </c>
      <c r="N472">
        <f t="shared" si="14"/>
        <v>2025</v>
      </c>
      <c r="O472" t="str">
        <f t="shared" si="15"/>
        <v>March</v>
      </c>
    </row>
    <row r="473" spans="1:15" x14ac:dyDescent="0.2">
      <c r="A473" t="s">
        <v>582</v>
      </c>
      <c r="B473" s="7">
        <v>45311</v>
      </c>
      <c r="C473" t="s">
        <v>29</v>
      </c>
      <c r="D473" t="s">
        <v>15</v>
      </c>
      <c r="E473" t="s">
        <v>16</v>
      </c>
      <c r="F473" t="s">
        <v>17</v>
      </c>
      <c r="G473" t="s">
        <v>58</v>
      </c>
      <c r="H473" t="s">
        <v>84</v>
      </c>
      <c r="I473" s="3">
        <v>2196</v>
      </c>
      <c r="J473">
        <v>1</v>
      </c>
      <c r="K473" s="5">
        <v>0.1</v>
      </c>
      <c r="L473" s="3">
        <v>462.14</v>
      </c>
      <c r="M473" t="s">
        <v>40</v>
      </c>
      <c r="N473">
        <f t="shared" si="14"/>
        <v>2024</v>
      </c>
      <c r="O473" t="str">
        <f t="shared" si="15"/>
        <v>January</v>
      </c>
    </row>
    <row r="474" spans="1:15" x14ac:dyDescent="0.2">
      <c r="A474" t="s">
        <v>583</v>
      </c>
      <c r="B474" s="7">
        <v>46016</v>
      </c>
      <c r="C474" t="s">
        <v>29</v>
      </c>
      <c r="D474" t="s">
        <v>15</v>
      </c>
      <c r="E474" t="s">
        <v>16</v>
      </c>
      <c r="F474" t="s">
        <v>204</v>
      </c>
      <c r="G474" t="s">
        <v>18</v>
      </c>
      <c r="H474" t="s">
        <v>63</v>
      </c>
      <c r="I474" s="3">
        <v>4084.8</v>
      </c>
      <c r="J474">
        <v>3</v>
      </c>
      <c r="K474" s="5">
        <v>0.2</v>
      </c>
      <c r="L474" s="3">
        <v>125.57</v>
      </c>
      <c r="M474" t="s">
        <v>49</v>
      </c>
      <c r="N474">
        <f t="shared" si="14"/>
        <v>2025</v>
      </c>
      <c r="O474" t="str">
        <f t="shared" si="15"/>
        <v>December</v>
      </c>
    </row>
    <row r="475" spans="1:15" x14ac:dyDescent="0.2">
      <c r="A475" t="s">
        <v>584</v>
      </c>
      <c r="B475" s="7">
        <v>45659</v>
      </c>
      <c r="C475" t="s">
        <v>45</v>
      </c>
      <c r="D475" t="s">
        <v>30</v>
      </c>
      <c r="E475" t="s">
        <v>122</v>
      </c>
      <c r="F475" t="s">
        <v>131</v>
      </c>
      <c r="G475" t="s">
        <v>18</v>
      </c>
      <c r="H475" t="s">
        <v>26</v>
      </c>
      <c r="I475" s="3">
        <v>92937.600000000006</v>
      </c>
      <c r="J475">
        <v>7</v>
      </c>
      <c r="K475" s="5">
        <v>0.2</v>
      </c>
      <c r="L475" s="3">
        <v>12738.1</v>
      </c>
      <c r="M475" t="s">
        <v>27</v>
      </c>
      <c r="N475">
        <f t="shared" si="14"/>
        <v>2025</v>
      </c>
      <c r="O475" t="str">
        <f t="shared" si="15"/>
        <v>January</v>
      </c>
    </row>
    <row r="476" spans="1:15" x14ac:dyDescent="0.2">
      <c r="A476" t="s">
        <v>585</v>
      </c>
      <c r="B476" s="7">
        <v>45332</v>
      </c>
      <c r="C476" t="s">
        <v>22</v>
      </c>
      <c r="D476" t="s">
        <v>30</v>
      </c>
      <c r="E476" t="s">
        <v>52</v>
      </c>
      <c r="F476" t="s">
        <v>118</v>
      </c>
      <c r="G476" t="s">
        <v>18</v>
      </c>
      <c r="H476" t="s">
        <v>19</v>
      </c>
      <c r="I476" s="3">
        <v>90407.7</v>
      </c>
      <c r="J476">
        <v>6</v>
      </c>
      <c r="K476" s="5">
        <v>0.05</v>
      </c>
      <c r="L476" s="3">
        <v>9296.0499999999993</v>
      </c>
      <c r="M476" t="s">
        <v>40</v>
      </c>
      <c r="N476">
        <f t="shared" si="14"/>
        <v>2024</v>
      </c>
      <c r="O476" t="str">
        <f t="shared" si="15"/>
        <v>February</v>
      </c>
    </row>
    <row r="477" spans="1:15" x14ac:dyDescent="0.2">
      <c r="A477" t="s">
        <v>586</v>
      </c>
      <c r="B477" s="7">
        <v>45317</v>
      </c>
      <c r="C477" t="s">
        <v>90</v>
      </c>
      <c r="D477" t="s">
        <v>30</v>
      </c>
      <c r="E477" t="s">
        <v>122</v>
      </c>
      <c r="F477" t="s">
        <v>160</v>
      </c>
      <c r="G477" t="s">
        <v>18</v>
      </c>
      <c r="H477" t="s">
        <v>19</v>
      </c>
      <c r="I477" s="3">
        <v>28786.9</v>
      </c>
      <c r="J477">
        <v>2</v>
      </c>
      <c r="K477" s="5">
        <v>0.05</v>
      </c>
      <c r="L477" s="3">
        <v>2148.64</v>
      </c>
      <c r="M477" t="s">
        <v>40</v>
      </c>
      <c r="N477">
        <f t="shared" si="14"/>
        <v>2024</v>
      </c>
      <c r="O477" t="str">
        <f t="shared" si="15"/>
        <v>January</v>
      </c>
    </row>
    <row r="478" spans="1:15" x14ac:dyDescent="0.2">
      <c r="A478" t="s">
        <v>587</v>
      </c>
      <c r="B478" s="7">
        <v>45335</v>
      </c>
      <c r="C478" t="s">
        <v>22</v>
      </c>
      <c r="D478" t="s">
        <v>30</v>
      </c>
      <c r="E478" t="s">
        <v>122</v>
      </c>
      <c r="F478" t="s">
        <v>160</v>
      </c>
      <c r="G478" t="s">
        <v>18</v>
      </c>
      <c r="H478" t="s">
        <v>19</v>
      </c>
      <c r="I478" s="3">
        <v>9626.4</v>
      </c>
      <c r="J478">
        <v>8</v>
      </c>
      <c r="K478" s="5">
        <v>0.1</v>
      </c>
      <c r="L478" s="3">
        <v>637.37</v>
      </c>
      <c r="M478" t="s">
        <v>20</v>
      </c>
      <c r="N478">
        <f t="shared" si="14"/>
        <v>2024</v>
      </c>
      <c r="O478" t="str">
        <f t="shared" si="15"/>
        <v>February</v>
      </c>
    </row>
    <row r="479" spans="1:15" x14ac:dyDescent="0.2">
      <c r="A479" t="s">
        <v>588</v>
      </c>
      <c r="B479" s="7">
        <v>45311</v>
      </c>
      <c r="C479" t="s">
        <v>29</v>
      </c>
      <c r="D479" t="s">
        <v>23</v>
      </c>
      <c r="E479" t="s">
        <v>172</v>
      </c>
      <c r="F479" t="s">
        <v>173</v>
      </c>
      <c r="G479" t="s">
        <v>58</v>
      </c>
      <c r="H479" t="s">
        <v>74</v>
      </c>
      <c r="I479" s="3">
        <v>234870.39999999999</v>
      </c>
      <c r="J479">
        <v>4</v>
      </c>
      <c r="K479" s="5">
        <v>0.05</v>
      </c>
      <c r="L479" s="3">
        <v>38819.129999999997</v>
      </c>
      <c r="M479" t="s">
        <v>35</v>
      </c>
      <c r="N479">
        <f t="shared" si="14"/>
        <v>2024</v>
      </c>
      <c r="O479" t="str">
        <f t="shared" si="15"/>
        <v>January</v>
      </c>
    </row>
    <row r="480" spans="1:15" x14ac:dyDescent="0.2">
      <c r="A480" t="s">
        <v>589</v>
      </c>
      <c r="B480" s="7">
        <v>45897</v>
      </c>
      <c r="C480" t="s">
        <v>37</v>
      </c>
      <c r="D480" t="s">
        <v>23</v>
      </c>
      <c r="E480" t="s">
        <v>24</v>
      </c>
      <c r="F480" t="s">
        <v>77</v>
      </c>
      <c r="G480" t="s">
        <v>33</v>
      </c>
      <c r="H480" t="s">
        <v>128</v>
      </c>
      <c r="I480" s="3">
        <v>51413.95</v>
      </c>
      <c r="J480">
        <v>1</v>
      </c>
      <c r="K480" s="5">
        <v>0.15</v>
      </c>
      <c r="L480" s="3">
        <v>8470.2000000000007</v>
      </c>
      <c r="M480" t="s">
        <v>20</v>
      </c>
      <c r="N480">
        <f t="shared" si="14"/>
        <v>2025</v>
      </c>
      <c r="O480" t="str">
        <f t="shared" si="15"/>
        <v>August</v>
      </c>
    </row>
    <row r="481" spans="1:15" x14ac:dyDescent="0.2">
      <c r="A481" t="s">
        <v>590</v>
      </c>
      <c r="B481" s="7">
        <v>45881</v>
      </c>
      <c r="C481" t="s">
        <v>51</v>
      </c>
      <c r="D481" t="s">
        <v>23</v>
      </c>
      <c r="E481" t="s">
        <v>38</v>
      </c>
      <c r="F481" t="s">
        <v>140</v>
      </c>
      <c r="G481" t="s">
        <v>33</v>
      </c>
      <c r="H481" t="s">
        <v>128</v>
      </c>
      <c r="I481" s="3">
        <v>163156</v>
      </c>
      <c r="J481">
        <v>7</v>
      </c>
      <c r="K481" s="5">
        <v>0</v>
      </c>
      <c r="L481" s="3">
        <v>44895.74</v>
      </c>
      <c r="M481" t="s">
        <v>40</v>
      </c>
      <c r="N481">
        <f t="shared" si="14"/>
        <v>2025</v>
      </c>
      <c r="O481" t="str">
        <f t="shared" si="15"/>
        <v>August</v>
      </c>
    </row>
    <row r="482" spans="1:15" x14ac:dyDescent="0.2">
      <c r="A482" t="s">
        <v>591</v>
      </c>
      <c r="B482" s="7">
        <v>45670</v>
      </c>
      <c r="C482" t="s">
        <v>51</v>
      </c>
      <c r="D482" t="s">
        <v>30</v>
      </c>
      <c r="E482" t="s">
        <v>31</v>
      </c>
      <c r="F482" t="s">
        <v>97</v>
      </c>
      <c r="G482" t="s">
        <v>18</v>
      </c>
      <c r="H482" t="s">
        <v>26</v>
      </c>
      <c r="I482" s="3">
        <v>16615.8</v>
      </c>
      <c r="J482">
        <v>2</v>
      </c>
      <c r="K482" s="5">
        <v>0.15</v>
      </c>
      <c r="L482" s="3">
        <v>1264.6300000000001</v>
      </c>
      <c r="M482" t="s">
        <v>40</v>
      </c>
      <c r="N482">
        <f t="shared" si="14"/>
        <v>2025</v>
      </c>
      <c r="O482" t="str">
        <f t="shared" si="15"/>
        <v>January</v>
      </c>
    </row>
    <row r="483" spans="1:15" x14ac:dyDescent="0.2">
      <c r="A483" t="s">
        <v>592</v>
      </c>
      <c r="B483" s="7">
        <v>45299</v>
      </c>
      <c r="C483" t="s">
        <v>55</v>
      </c>
      <c r="D483" t="s">
        <v>30</v>
      </c>
      <c r="E483" t="s">
        <v>31</v>
      </c>
      <c r="F483" t="s">
        <v>32</v>
      </c>
      <c r="G483" t="s">
        <v>18</v>
      </c>
      <c r="H483" t="s">
        <v>26</v>
      </c>
      <c r="I483" s="3">
        <v>35515.550000000003</v>
      </c>
      <c r="J483">
        <v>7</v>
      </c>
      <c r="K483" s="5">
        <v>0.15</v>
      </c>
      <c r="L483" s="3">
        <v>2082.79</v>
      </c>
      <c r="M483" t="s">
        <v>20</v>
      </c>
      <c r="N483">
        <f t="shared" si="14"/>
        <v>2024</v>
      </c>
      <c r="O483" t="str">
        <f t="shared" si="15"/>
        <v>January</v>
      </c>
    </row>
    <row r="484" spans="1:15" x14ac:dyDescent="0.2">
      <c r="A484" t="s">
        <v>593</v>
      </c>
      <c r="B484" s="7">
        <v>45827</v>
      </c>
      <c r="C484" t="s">
        <v>29</v>
      </c>
      <c r="D484" t="s">
        <v>15</v>
      </c>
      <c r="E484" t="s">
        <v>56</v>
      </c>
      <c r="F484" t="s">
        <v>100</v>
      </c>
      <c r="G484" t="s">
        <v>42</v>
      </c>
      <c r="H484" t="s">
        <v>43</v>
      </c>
      <c r="I484" s="3">
        <v>7174.4</v>
      </c>
      <c r="J484">
        <v>8</v>
      </c>
      <c r="K484" s="5">
        <v>0.05</v>
      </c>
      <c r="L484" s="3">
        <v>1402.35</v>
      </c>
      <c r="M484" t="s">
        <v>49</v>
      </c>
      <c r="N484">
        <f t="shared" si="14"/>
        <v>2025</v>
      </c>
      <c r="O484" t="str">
        <f t="shared" si="15"/>
        <v>June</v>
      </c>
    </row>
    <row r="485" spans="1:15" x14ac:dyDescent="0.2">
      <c r="A485" t="s">
        <v>594</v>
      </c>
      <c r="B485" s="7">
        <v>45863</v>
      </c>
      <c r="C485" t="s">
        <v>76</v>
      </c>
      <c r="D485" t="s">
        <v>23</v>
      </c>
      <c r="E485" t="s">
        <v>24</v>
      </c>
      <c r="F485" t="s">
        <v>25</v>
      </c>
      <c r="G485" t="s">
        <v>18</v>
      </c>
      <c r="H485" t="s">
        <v>26</v>
      </c>
      <c r="I485" s="3">
        <v>297439.2</v>
      </c>
      <c r="J485">
        <v>8</v>
      </c>
      <c r="K485" s="5">
        <v>0.1</v>
      </c>
      <c r="L485" s="3">
        <v>41271.82</v>
      </c>
      <c r="M485" t="s">
        <v>40</v>
      </c>
      <c r="N485">
        <f t="shared" si="14"/>
        <v>2025</v>
      </c>
      <c r="O485" t="str">
        <f t="shared" si="15"/>
        <v>July</v>
      </c>
    </row>
    <row r="486" spans="1:15" x14ac:dyDescent="0.2">
      <c r="A486" t="s">
        <v>595</v>
      </c>
      <c r="B486" s="7">
        <v>45444</v>
      </c>
      <c r="C486" t="s">
        <v>29</v>
      </c>
      <c r="D486" t="s">
        <v>23</v>
      </c>
      <c r="E486" t="s">
        <v>172</v>
      </c>
      <c r="F486" t="s">
        <v>173</v>
      </c>
      <c r="G486" t="s">
        <v>18</v>
      </c>
      <c r="H486" t="s">
        <v>19</v>
      </c>
      <c r="I486" s="3">
        <v>126488</v>
      </c>
      <c r="J486">
        <v>4</v>
      </c>
      <c r="K486" s="5">
        <v>0</v>
      </c>
      <c r="L486" s="3">
        <v>15019.67</v>
      </c>
      <c r="M486" t="s">
        <v>49</v>
      </c>
      <c r="N486">
        <f t="shared" si="14"/>
        <v>2024</v>
      </c>
      <c r="O486" t="str">
        <f t="shared" si="15"/>
        <v>June</v>
      </c>
    </row>
    <row r="487" spans="1:15" x14ac:dyDescent="0.2">
      <c r="A487" t="s">
        <v>596</v>
      </c>
      <c r="B487" s="7">
        <v>45756</v>
      </c>
      <c r="C487" t="s">
        <v>14</v>
      </c>
      <c r="D487" t="s">
        <v>23</v>
      </c>
      <c r="E487" t="s">
        <v>24</v>
      </c>
      <c r="F487" t="s">
        <v>25</v>
      </c>
      <c r="G487" t="s">
        <v>18</v>
      </c>
      <c r="H487" t="s">
        <v>70</v>
      </c>
      <c r="I487" s="3">
        <v>107357.4</v>
      </c>
      <c r="J487">
        <v>6</v>
      </c>
      <c r="K487" s="5">
        <v>0.1</v>
      </c>
      <c r="L487" s="3">
        <v>13082.46</v>
      </c>
      <c r="M487" t="s">
        <v>20</v>
      </c>
      <c r="N487">
        <f t="shared" si="14"/>
        <v>2025</v>
      </c>
      <c r="O487" t="str">
        <f t="shared" si="15"/>
        <v>April</v>
      </c>
    </row>
    <row r="488" spans="1:15" x14ac:dyDescent="0.2">
      <c r="A488" t="s">
        <v>597</v>
      </c>
      <c r="B488" s="7">
        <v>45898</v>
      </c>
      <c r="C488" t="s">
        <v>90</v>
      </c>
      <c r="D488" t="s">
        <v>15</v>
      </c>
      <c r="E488" t="s">
        <v>16</v>
      </c>
      <c r="F488" t="s">
        <v>17</v>
      </c>
      <c r="G488" t="s">
        <v>33</v>
      </c>
      <c r="H488" t="s">
        <v>48</v>
      </c>
      <c r="I488" s="3">
        <v>2964</v>
      </c>
      <c r="J488">
        <v>8</v>
      </c>
      <c r="K488" s="5">
        <v>0.05</v>
      </c>
      <c r="L488" s="3">
        <v>627.72</v>
      </c>
      <c r="M488" t="s">
        <v>27</v>
      </c>
      <c r="N488">
        <f t="shared" si="14"/>
        <v>2025</v>
      </c>
      <c r="O488" t="str">
        <f t="shared" si="15"/>
        <v>August</v>
      </c>
    </row>
    <row r="489" spans="1:15" x14ac:dyDescent="0.2">
      <c r="A489" t="s">
        <v>598</v>
      </c>
      <c r="B489" s="7">
        <v>45676</v>
      </c>
      <c r="C489" t="s">
        <v>76</v>
      </c>
      <c r="D489" t="s">
        <v>30</v>
      </c>
      <c r="E489" t="s">
        <v>31</v>
      </c>
      <c r="F489" t="s">
        <v>32</v>
      </c>
      <c r="G489" t="s">
        <v>42</v>
      </c>
      <c r="H489" t="s">
        <v>98</v>
      </c>
      <c r="I489" s="3">
        <v>20466.3</v>
      </c>
      <c r="J489">
        <v>6</v>
      </c>
      <c r="K489" s="5">
        <v>0.15</v>
      </c>
      <c r="L489" s="3">
        <v>4430.49</v>
      </c>
      <c r="M489" t="s">
        <v>20</v>
      </c>
      <c r="N489">
        <f t="shared" si="14"/>
        <v>2025</v>
      </c>
      <c r="O489" t="str">
        <f t="shared" si="15"/>
        <v>January</v>
      </c>
    </row>
    <row r="490" spans="1:15" x14ac:dyDescent="0.2">
      <c r="A490" t="s">
        <v>599</v>
      </c>
      <c r="B490" s="7">
        <v>45760</v>
      </c>
      <c r="C490" t="s">
        <v>76</v>
      </c>
      <c r="D490" t="s">
        <v>30</v>
      </c>
      <c r="E490" t="s">
        <v>72</v>
      </c>
      <c r="F490" t="s">
        <v>207</v>
      </c>
      <c r="G490" t="s">
        <v>58</v>
      </c>
      <c r="H490" t="s">
        <v>95</v>
      </c>
      <c r="I490" s="3">
        <v>40057.949999999997</v>
      </c>
      <c r="J490">
        <v>3</v>
      </c>
      <c r="K490" s="5">
        <v>0.15</v>
      </c>
      <c r="L490" s="3">
        <v>4694.67</v>
      </c>
      <c r="M490" t="s">
        <v>27</v>
      </c>
      <c r="N490">
        <f t="shared" si="14"/>
        <v>2025</v>
      </c>
      <c r="O490" t="str">
        <f t="shared" si="15"/>
        <v>April</v>
      </c>
    </row>
    <row r="491" spans="1:15" x14ac:dyDescent="0.2">
      <c r="A491" t="s">
        <v>600</v>
      </c>
      <c r="B491" s="7">
        <v>45467</v>
      </c>
      <c r="C491" t="s">
        <v>45</v>
      </c>
      <c r="D491" t="s">
        <v>30</v>
      </c>
      <c r="E491" t="s">
        <v>31</v>
      </c>
      <c r="F491" t="s">
        <v>32</v>
      </c>
      <c r="G491" t="s">
        <v>42</v>
      </c>
      <c r="H491" t="s">
        <v>98</v>
      </c>
      <c r="I491" s="3">
        <v>4481.2</v>
      </c>
      <c r="J491">
        <v>1</v>
      </c>
      <c r="K491" s="5">
        <v>0.15</v>
      </c>
      <c r="L491" s="3">
        <v>601.45000000000005</v>
      </c>
      <c r="M491" t="s">
        <v>40</v>
      </c>
      <c r="N491">
        <f t="shared" si="14"/>
        <v>2024</v>
      </c>
      <c r="O491" t="str">
        <f t="shared" si="15"/>
        <v>June</v>
      </c>
    </row>
    <row r="492" spans="1:15" x14ac:dyDescent="0.2">
      <c r="A492" t="s">
        <v>601</v>
      </c>
      <c r="B492" s="7">
        <v>45513</v>
      </c>
      <c r="C492" t="s">
        <v>90</v>
      </c>
      <c r="D492" t="s">
        <v>30</v>
      </c>
      <c r="E492" t="s">
        <v>72</v>
      </c>
      <c r="F492" t="s">
        <v>73</v>
      </c>
      <c r="G492" t="s">
        <v>33</v>
      </c>
      <c r="H492" t="s">
        <v>48</v>
      </c>
      <c r="I492" s="3">
        <v>48586</v>
      </c>
      <c r="J492">
        <v>4</v>
      </c>
      <c r="K492" s="5">
        <v>0.15</v>
      </c>
      <c r="L492" s="3">
        <v>10443.07</v>
      </c>
      <c r="M492" t="s">
        <v>49</v>
      </c>
      <c r="N492">
        <f t="shared" si="14"/>
        <v>2024</v>
      </c>
      <c r="O492" t="str">
        <f t="shared" si="15"/>
        <v>August</v>
      </c>
    </row>
    <row r="493" spans="1:15" x14ac:dyDescent="0.2">
      <c r="A493" t="s">
        <v>602</v>
      </c>
      <c r="B493" s="7">
        <v>45897</v>
      </c>
      <c r="C493" t="s">
        <v>55</v>
      </c>
      <c r="D493" t="s">
        <v>30</v>
      </c>
      <c r="E493" t="s">
        <v>104</v>
      </c>
      <c r="F493" t="s">
        <v>170</v>
      </c>
      <c r="G493" t="s">
        <v>18</v>
      </c>
      <c r="H493" t="s">
        <v>63</v>
      </c>
      <c r="I493" s="3">
        <v>36876.800000000003</v>
      </c>
      <c r="J493">
        <v>4</v>
      </c>
      <c r="K493" s="5">
        <v>0.2</v>
      </c>
      <c r="L493" s="3">
        <v>2746.63</v>
      </c>
      <c r="M493" t="s">
        <v>35</v>
      </c>
      <c r="N493">
        <f t="shared" si="14"/>
        <v>2025</v>
      </c>
      <c r="O493" t="str">
        <f t="shared" si="15"/>
        <v>August</v>
      </c>
    </row>
    <row r="494" spans="1:15" x14ac:dyDescent="0.2">
      <c r="A494" t="s">
        <v>603</v>
      </c>
      <c r="B494" s="7">
        <v>45538</v>
      </c>
      <c r="C494" t="s">
        <v>37</v>
      </c>
      <c r="D494" t="s">
        <v>23</v>
      </c>
      <c r="E494" t="s">
        <v>38</v>
      </c>
      <c r="F494" t="s">
        <v>91</v>
      </c>
      <c r="G494" t="s">
        <v>18</v>
      </c>
      <c r="H494" t="s">
        <v>70</v>
      </c>
      <c r="I494" s="3">
        <v>29098</v>
      </c>
      <c r="J494">
        <v>1</v>
      </c>
      <c r="K494" s="5">
        <v>0</v>
      </c>
      <c r="L494" s="3">
        <v>4960.87</v>
      </c>
      <c r="M494" t="s">
        <v>35</v>
      </c>
      <c r="N494">
        <f t="shared" si="14"/>
        <v>2024</v>
      </c>
      <c r="O494" t="str">
        <f t="shared" si="15"/>
        <v>September</v>
      </c>
    </row>
    <row r="495" spans="1:15" x14ac:dyDescent="0.2">
      <c r="A495" t="s">
        <v>604</v>
      </c>
      <c r="B495" s="7">
        <v>45457</v>
      </c>
      <c r="C495" t="s">
        <v>29</v>
      </c>
      <c r="D495" t="s">
        <v>23</v>
      </c>
      <c r="E495" t="s">
        <v>38</v>
      </c>
      <c r="F495" t="s">
        <v>91</v>
      </c>
      <c r="G495" t="s">
        <v>33</v>
      </c>
      <c r="H495" t="s">
        <v>48</v>
      </c>
      <c r="I495" s="3">
        <v>71684.75</v>
      </c>
      <c r="J495">
        <v>5</v>
      </c>
      <c r="K495" s="5">
        <v>0.15</v>
      </c>
      <c r="L495" s="3">
        <v>12638.53</v>
      </c>
      <c r="M495" t="s">
        <v>35</v>
      </c>
      <c r="N495">
        <f t="shared" si="14"/>
        <v>2024</v>
      </c>
      <c r="O495" t="str">
        <f t="shared" si="15"/>
        <v>June</v>
      </c>
    </row>
    <row r="496" spans="1:15" x14ac:dyDescent="0.2">
      <c r="A496" t="s">
        <v>605</v>
      </c>
      <c r="B496" s="7">
        <v>46012</v>
      </c>
      <c r="C496" t="s">
        <v>14</v>
      </c>
      <c r="D496" t="s">
        <v>15</v>
      </c>
      <c r="E496" t="s">
        <v>56</v>
      </c>
      <c r="F496" t="s">
        <v>57</v>
      </c>
      <c r="G496" t="s">
        <v>18</v>
      </c>
      <c r="H496" t="s">
        <v>63</v>
      </c>
      <c r="I496" s="3">
        <v>2313.9</v>
      </c>
      <c r="J496">
        <v>3</v>
      </c>
      <c r="K496" s="5">
        <v>0.1</v>
      </c>
      <c r="L496" s="3">
        <v>417.34</v>
      </c>
      <c r="M496" t="s">
        <v>20</v>
      </c>
      <c r="N496">
        <f t="shared" si="14"/>
        <v>2025</v>
      </c>
      <c r="O496" t="str">
        <f t="shared" si="15"/>
        <v>December</v>
      </c>
    </row>
    <row r="497" spans="1:15" x14ac:dyDescent="0.2">
      <c r="A497" t="s">
        <v>606</v>
      </c>
      <c r="B497" s="7">
        <v>45348</v>
      </c>
      <c r="C497" t="s">
        <v>51</v>
      </c>
      <c r="D497" t="s">
        <v>30</v>
      </c>
      <c r="E497" t="s">
        <v>104</v>
      </c>
      <c r="F497" t="s">
        <v>137</v>
      </c>
      <c r="G497" t="s">
        <v>18</v>
      </c>
      <c r="H497" t="s">
        <v>19</v>
      </c>
      <c r="I497" s="3">
        <v>30348</v>
      </c>
      <c r="J497">
        <v>5</v>
      </c>
      <c r="K497" s="5">
        <v>0.2</v>
      </c>
      <c r="L497" s="3">
        <v>6256.83</v>
      </c>
      <c r="M497" t="s">
        <v>27</v>
      </c>
      <c r="N497">
        <f t="shared" si="14"/>
        <v>2024</v>
      </c>
      <c r="O497" t="str">
        <f t="shared" si="15"/>
        <v>February</v>
      </c>
    </row>
    <row r="498" spans="1:15" x14ac:dyDescent="0.2">
      <c r="A498" t="s">
        <v>607</v>
      </c>
      <c r="B498" s="7">
        <v>45866</v>
      </c>
      <c r="C498" t="s">
        <v>76</v>
      </c>
      <c r="D498" t="s">
        <v>23</v>
      </c>
      <c r="E498" t="s">
        <v>82</v>
      </c>
      <c r="F498" t="s">
        <v>83</v>
      </c>
      <c r="G498" t="s">
        <v>58</v>
      </c>
      <c r="H498" t="s">
        <v>84</v>
      </c>
      <c r="I498" s="3">
        <v>20126.400000000001</v>
      </c>
      <c r="J498">
        <v>1</v>
      </c>
      <c r="K498" s="5">
        <v>0.2</v>
      </c>
      <c r="L498" s="3">
        <v>3441.11</v>
      </c>
      <c r="M498" t="s">
        <v>40</v>
      </c>
      <c r="N498">
        <f t="shared" si="14"/>
        <v>2025</v>
      </c>
      <c r="O498" t="str">
        <f t="shared" si="15"/>
        <v>July</v>
      </c>
    </row>
    <row r="499" spans="1:15" x14ac:dyDescent="0.2">
      <c r="A499" t="s">
        <v>608</v>
      </c>
      <c r="B499" s="7">
        <v>45807</v>
      </c>
      <c r="C499" t="s">
        <v>22</v>
      </c>
      <c r="D499" t="s">
        <v>30</v>
      </c>
      <c r="E499" t="s">
        <v>31</v>
      </c>
      <c r="F499" t="s">
        <v>188</v>
      </c>
      <c r="G499" t="s">
        <v>18</v>
      </c>
      <c r="H499" t="s">
        <v>63</v>
      </c>
      <c r="I499" s="3">
        <v>29473.200000000001</v>
      </c>
      <c r="J499">
        <v>4</v>
      </c>
      <c r="K499" s="5">
        <v>0.1</v>
      </c>
      <c r="L499" s="3">
        <v>6914.02</v>
      </c>
      <c r="M499" t="s">
        <v>27</v>
      </c>
      <c r="N499">
        <f t="shared" si="14"/>
        <v>2025</v>
      </c>
      <c r="O499" t="str">
        <f t="shared" si="15"/>
        <v>May</v>
      </c>
    </row>
    <row r="500" spans="1:15" x14ac:dyDescent="0.2">
      <c r="A500" t="s">
        <v>609</v>
      </c>
      <c r="B500" s="7">
        <v>45837</v>
      </c>
      <c r="C500" t="s">
        <v>68</v>
      </c>
      <c r="D500" t="s">
        <v>23</v>
      </c>
      <c r="E500" t="s">
        <v>82</v>
      </c>
      <c r="F500" t="s">
        <v>83</v>
      </c>
      <c r="G500" t="s">
        <v>42</v>
      </c>
      <c r="H500" t="s">
        <v>119</v>
      </c>
      <c r="I500" s="3">
        <v>218003.20000000001</v>
      </c>
      <c r="J500">
        <v>8</v>
      </c>
      <c r="K500" s="5">
        <v>0.2</v>
      </c>
      <c r="L500" s="3">
        <v>36114.769999999997</v>
      </c>
      <c r="M500" t="s">
        <v>49</v>
      </c>
      <c r="N500">
        <f t="shared" si="14"/>
        <v>2025</v>
      </c>
      <c r="O500" t="str">
        <f t="shared" si="15"/>
        <v>June</v>
      </c>
    </row>
    <row r="501" spans="1:15" x14ac:dyDescent="0.2">
      <c r="A501" t="s">
        <v>610</v>
      </c>
      <c r="B501" s="7">
        <v>45370</v>
      </c>
      <c r="C501" t="s">
        <v>37</v>
      </c>
      <c r="D501" t="s">
        <v>15</v>
      </c>
      <c r="E501" t="s">
        <v>65</v>
      </c>
      <c r="F501" t="s">
        <v>66</v>
      </c>
      <c r="G501" t="s">
        <v>18</v>
      </c>
      <c r="H501" t="s">
        <v>26</v>
      </c>
      <c r="I501" s="3">
        <v>1497.6</v>
      </c>
      <c r="J501">
        <v>2</v>
      </c>
      <c r="K501" s="5">
        <v>0.1</v>
      </c>
      <c r="L501" s="3">
        <v>369.38</v>
      </c>
      <c r="M501" t="s">
        <v>40</v>
      </c>
      <c r="N501">
        <f t="shared" si="14"/>
        <v>2024</v>
      </c>
      <c r="O501" t="str">
        <f t="shared" si="15"/>
        <v>March</v>
      </c>
    </row>
    <row r="502" spans="1:15" x14ac:dyDescent="0.2">
      <c r="A502" t="s">
        <v>611</v>
      </c>
      <c r="B502" s="7">
        <v>45846</v>
      </c>
      <c r="C502" t="s">
        <v>55</v>
      </c>
      <c r="D502" t="s">
        <v>30</v>
      </c>
      <c r="E502" t="s">
        <v>52</v>
      </c>
      <c r="F502" t="s">
        <v>53</v>
      </c>
      <c r="G502" t="s">
        <v>33</v>
      </c>
      <c r="H502" t="s">
        <v>109</v>
      </c>
      <c r="I502" s="3">
        <v>5246.2</v>
      </c>
      <c r="J502">
        <v>4</v>
      </c>
      <c r="K502" s="5">
        <v>0.15</v>
      </c>
      <c r="L502" s="3">
        <v>1240.28</v>
      </c>
      <c r="M502" t="s">
        <v>49</v>
      </c>
      <c r="N502">
        <f t="shared" si="14"/>
        <v>2025</v>
      </c>
      <c r="O502" t="str">
        <f t="shared" si="15"/>
        <v>July</v>
      </c>
    </row>
    <row r="503" spans="1:15" x14ac:dyDescent="0.2">
      <c r="A503" t="s">
        <v>612</v>
      </c>
      <c r="B503" s="7">
        <v>45713</v>
      </c>
      <c r="C503" t="s">
        <v>90</v>
      </c>
      <c r="D503" t="s">
        <v>30</v>
      </c>
      <c r="E503" t="s">
        <v>122</v>
      </c>
      <c r="F503" t="s">
        <v>160</v>
      </c>
      <c r="G503" t="s">
        <v>58</v>
      </c>
      <c r="H503" t="s">
        <v>95</v>
      </c>
      <c r="I503" s="3">
        <v>4870.3999999999996</v>
      </c>
      <c r="J503">
        <v>4</v>
      </c>
      <c r="K503" s="5">
        <v>0.2</v>
      </c>
      <c r="L503" s="3">
        <v>774.07</v>
      </c>
      <c r="M503" t="s">
        <v>27</v>
      </c>
      <c r="N503">
        <f t="shared" si="14"/>
        <v>2025</v>
      </c>
      <c r="O503" t="str">
        <f t="shared" si="15"/>
        <v>February</v>
      </c>
    </row>
    <row r="504" spans="1:15" x14ac:dyDescent="0.2">
      <c r="A504" t="s">
        <v>613</v>
      </c>
      <c r="B504" s="7">
        <v>45524</v>
      </c>
      <c r="C504" t="s">
        <v>29</v>
      </c>
      <c r="D504" t="s">
        <v>15</v>
      </c>
      <c r="E504" t="s">
        <v>65</v>
      </c>
      <c r="F504" t="s">
        <v>66</v>
      </c>
      <c r="G504" t="s">
        <v>58</v>
      </c>
      <c r="H504" t="s">
        <v>59</v>
      </c>
      <c r="I504" s="3">
        <v>6436.25</v>
      </c>
      <c r="J504">
        <v>5</v>
      </c>
      <c r="K504" s="5">
        <v>0.05</v>
      </c>
      <c r="L504" s="3">
        <v>1450.43</v>
      </c>
      <c r="M504" t="s">
        <v>27</v>
      </c>
      <c r="N504">
        <f t="shared" si="14"/>
        <v>2024</v>
      </c>
      <c r="O504" t="str">
        <f t="shared" si="15"/>
        <v>August</v>
      </c>
    </row>
    <row r="505" spans="1:15" x14ac:dyDescent="0.2">
      <c r="A505" t="s">
        <v>614</v>
      </c>
      <c r="B505" s="7">
        <v>45471</v>
      </c>
      <c r="C505" t="s">
        <v>55</v>
      </c>
      <c r="D505" t="s">
        <v>30</v>
      </c>
      <c r="E505" t="s">
        <v>52</v>
      </c>
      <c r="F505" t="s">
        <v>127</v>
      </c>
      <c r="G505" t="s">
        <v>33</v>
      </c>
      <c r="H505" t="s">
        <v>34</v>
      </c>
      <c r="I505" s="3">
        <v>40006.400000000001</v>
      </c>
      <c r="J505">
        <v>8</v>
      </c>
      <c r="K505" s="5">
        <v>0.2</v>
      </c>
      <c r="L505" s="3">
        <v>3482.53</v>
      </c>
      <c r="M505" t="s">
        <v>40</v>
      </c>
      <c r="N505">
        <f t="shared" si="14"/>
        <v>2024</v>
      </c>
      <c r="O505" t="str">
        <f t="shared" si="15"/>
        <v>June</v>
      </c>
    </row>
    <row r="506" spans="1:15" x14ac:dyDescent="0.2">
      <c r="A506" t="s">
        <v>615</v>
      </c>
      <c r="B506" s="7">
        <v>46016</v>
      </c>
      <c r="C506" t="s">
        <v>14</v>
      </c>
      <c r="D506" t="s">
        <v>23</v>
      </c>
      <c r="E506" t="s">
        <v>82</v>
      </c>
      <c r="F506" t="s">
        <v>240</v>
      </c>
      <c r="G506" t="s">
        <v>18</v>
      </c>
      <c r="H506" t="s">
        <v>19</v>
      </c>
      <c r="I506" s="3">
        <v>85767.9</v>
      </c>
      <c r="J506">
        <v>3</v>
      </c>
      <c r="K506" s="5">
        <v>0.05</v>
      </c>
      <c r="L506" s="3">
        <v>9308.48</v>
      </c>
      <c r="M506" t="s">
        <v>27</v>
      </c>
      <c r="N506">
        <f t="shared" si="14"/>
        <v>2025</v>
      </c>
      <c r="O506" t="str">
        <f t="shared" si="15"/>
        <v>December</v>
      </c>
    </row>
    <row r="507" spans="1:15" x14ac:dyDescent="0.2">
      <c r="A507" t="s">
        <v>616</v>
      </c>
      <c r="B507" s="7">
        <v>45803</v>
      </c>
      <c r="C507" t="s">
        <v>55</v>
      </c>
      <c r="D507" t="s">
        <v>30</v>
      </c>
      <c r="E507" t="s">
        <v>31</v>
      </c>
      <c r="F507" t="s">
        <v>188</v>
      </c>
      <c r="G507" t="s">
        <v>42</v>
      </c>
      <c r="H507" t="s">
        <v>43</v>
      </c>
      <c r="I507" s="3">
        <v>32043</v>
      </c>
      <c r="J507">
        <v>3</v>
      </c>
      <c r="K507" s="5">
        <v>0</v>
      </c>
      <c r="L507" s="3">
        <v>5156.12</v>
      </c>
      <c r="M507" t="s">
        <v>49</v>
      </c>
      <c r="N507">
        <f t="shared" si="14"/>
        <v>2025</v>
      </c>
      <c r="O507" t="str">
        <f t="shared" si="15"/>
        <v>May</v>
      </c>
    </row>
    <row r="508" spans="1:15" x14ac:dyDescent="0.2">
      <c r="A508" t="s">
        <v>617</v>
      </c>
      <c r="B508" s="7">
        <v>45744</v>
      </c>
      <c r="C508" t="s">
        <v>45</v>
      </c>
      <c r="D508" t="s">
        <v>30</v>
      </c>
      <c r="E508" t="s">
        <v>31</v>
      </c>
      <c r="F508" t="s">
        <v>188</v>
      </c>
      <c r="G508" t="s">
        <v>18</v>
      </c>
      <c r="H508" t="s">
        <v>19</v>
      </c>
      <c r="I508" s="3">
        <v>48910.75</v>
      </c>
      <c r="J508">
        <v>5</v>
      </c>
      <c r="K508" s="5">
        <v>0.05</v>
      </c>
      <c r="L508" s="3">
        <v>11123.05</v>
      </c>
      <c r="M508" t="s">
        <v>20</v>
      </c>
      <c r="N508">
        <f t="shared" si="14"/>
        <v>2025</v>
      </c>
      <c r="O508" t="str">
        <f t="shared" si="15"/>
        <v>March</v>
      </c>
    </row>
    <row r="509" spans="1:15" x14ac:dyDescent="0.2">
      <c r="A509" t="s">
        <v>618</v>
      </c>
      <c r="B509" s="7">
        <v>45748</v>
      </c>
      <c r="C509" t="s">
        <v>45</v>
      </c>
      <c r="D509" t="s">
        <v>15</v>
      </c>
      <c r="E509" t="s">
        <v>61</v>
      </c>
      <c r="F509" t="s">
        <v>144</v>
      </c>
      <c r="G509" t="s">
        <v>18</v>
      </c>
      <c r="H509" t="s">
        <v>26</v>
      </c>
      <c r="I509" s="3">
        <v>2792</v>
      </c>
      <c r="J509">
        <v>2</v>
      </c>
      <c r="K509" s="5">
        <v>0.2</v>
      </c>
      <c r="L509" s="3">
        <v>553.30999999999995</v>
      </c>
      <c r="M509" t="s">
        <v>20</v>
      </c>
      <c r="N509">
        <f t="shared" si="14"/>
        <v>2025</v>
      </c>
      <c r="O509" t="str">
        <f t="shared" si="15"/>
        <v>April</v>
      </c>
    </row>
    <row r="510" spans="1:15" x14ac:dyDescent="0.2">
      <c r="A510" t="s">
        <v>619</v>
      </c>
      <c r="B510" s="7">
        <v>45381</v>
      </c>
      <c r="C510" t="s">
        <v>51</v>
      </c>
      <c r="D510" t="s">
        <v>30</v>
      </c>
      <c r="E510" t="s">
        <v>52</v>
      </c>
      <c r="F510" t="s">
        <v>127</v>
      </c>
      <c r="G510" t="s">
        <v>33</v>
      </c>
      <c r="H510" t="s">
        <v>48</v>
      </c>
      <c r="I510" s="3">
        <v>12032.6</v>
      </c>
      <c r="J510">
        <v>4</v>
      </c>
      <c r="K510" s="5">
        <v>0.15</v>
      </c>
      <c r="L510" s="3">
        <v>2140.75</v>
      </c>
      <c r="M510" t="s">
        <v>49</v>
      </c>
      <c r="N510">
        <f t="shared" si="14"/>
        <v>2024</v>
      </c>
      <c r="O510" t="str">
        <f t="shared" si="15"/>
        <v>March</v>
      </c>
    </row>
    <row r="511" spans="1:15" x14ac:dyDescent="0.2">
      <c r="A511" t="s">
        <v>620</v>
      </c>
      <c r="B511" s="7">
        <v>45304</v>
      </c>
      <c r="C511" t="s">
        <v>68</v>
      </c>
      <c r="D511" t="s">
        <v>23</v>
      </c>
      <c r="E511" t="s">
        <v>38</v>
      </c>
      <c r="F511" t="s">
        <v>39</v>
      </c>
      <c r="G511" t="s">
        <v>42</v>
      </c>
      <c r="H511" t="s">
        <v>102</v>
      </c>
      <c r="I511" s="3">
        <v>147171.6</v>
      </c>
      <c r="J511">
        <v>6</v>
      </c>
      <c r="K511" s="5">
        <v>0.1</v>
      </c>
      <c r="L511" s="3">
        <v>19459.400000000001</v>
      </c>
      <c r="M511" t="s">
        <v>27</v>
      </c>
      <c r="N511">
        <f t="shared" si="14"/>
        <v>2024</v>
      </c>
      <c r="O511" t="str">
        <f t="shared" si="15"/>
        <v>January</v>
      </c>
    </row>
    <row r="512" spans="1:15" x14ac:dyDescent="0.2">
      <c r="A512" t="s">
        <v>621</v>
      </c>
      <c r="B512" s="7">
        <v>45726</v>
      </c>
      <c r="C512" t="s">
        <v>22</v>
      </c>
      <c r="D512" t="s">
        <v>30</v>
      </c>
      <c r="E512" t="s">
        <v>104</v>
      </c>
      <c r="F512" t="s">
        <v>105</v>
      </c>
      <c r="G512" t="s">
        <v>58</v>
      </c>
      <c r="H512" t="s">
        <v>95</v>
      </c>
      <c r="I512" s="3">
        <v>103809.60000000001</v>
      </c>
      <c r="J512">
        <v>8</v>
      </c>
      <c r="K512" s="5">
        <v>0.1</v>
      </c>
      <c r="L512" s="3">
        <v>9110.1299999999992</v>
      </c>
      <c r="M512" t="s">
        <v>40</v>
      </c>
      <c r="N512">
        <f t="shared" si="14"/>
        <v>2025</v>
      </c>
      <c r="O512" t="str">
        <f t="shared" si="15"/>
        <v>March</v>
      </c>
    </row>
    <row r="513" spans="1:15" x14ac:dyDescent="0.2">
      <c r="A513" t="s">
        <v>622</v>
      </c>
      <c r="B513" s="7">
        <v>45382</v>
      </c>
      <c r="C513" t="s">
        <v>14</v>
      </c>
      <c r="D513" t="s">
        <v>15</v>
      </c>
      <c r="E513" t="s">
        <v>56</v>
      </c>
      <c r="F513" t="s">
        <v>88</v>
      </c>
      <c r="G513" t="s">
        <v>18</v>
      </c>
      <c r="H513" t="s">
        <v>26</v>
      </c>
      <c r="I513" s="3">
        <v>1480</v>
      </c>
      <c r="J513">
        <v>5</v>
      </c>
      <c r="K513" s="5">
        <v>0.2</v>
      </c>
      <c r="L513" s="3">
        <v>268.20999999999998</v>
      </c>
      <c r="M513" t="s">
        <v>49</v>
      </c>
      <c r="N513">
        <f t="shared" si="14"/>
        <v>2024</v>
      </c>
      <c r="O513" t="str">
        <f t="shared" si="15"/>
        <v>March</v>
      </c>
    </row>
    <row r="514" spans="1:15" x14ac:dyDescent="0.2">
      <c r="A514" t="s">
        <v>623</v>
      </c>
      <c r="B514" s="7">
        <v>45588</v>
      </c>
      <c r="C514" t="s">
        <v>51</v>
      </c>
      <c r="D514" t="s">
        <v>15</v>
      </c>
      <c r="E514" t="s">
        <v>65</v>
      </c>
      <c r="F514" t="s">
        <v>222</v>
      </c>
      <c r="G514" t="s">
        <v>58</v>
      </c>
      <c r="H514" t="s">
        <v>74</v>
      </c>
      <c r="I514" s="3">
        <v>6961.6</v>
      </c>
      <c r="J514">
        <v>8</v>
      </c>
      <c r="K514" s="5">
        <v>0.05</v>
      </c>
      <c r="L514" s="3">
        <v>1628.71</v>
      </c>
      <c r="M514" t="s">
        <v>49</v>
      </c>
      <c r="N514">
        <f t="shared" ref="N514:N577" si="16">YEAR(B514)</f>
        <v>2024</v>
      </c>
      <c r="O514" t="str">
        <f t="shared" ref="O514:O577" si="17">TEXT(B514,"mmmm")</f>
        <v>October</v>
      </c>
    </row>
    <row r="515" spans="1:15" x14ac:dyDescent="0.2">
      <c r="A515" t="s">
        <v>624</v>
      </c>
      <c r="B515" s="7">
        <v>45947</v>
      </c>
      <c r="C515" t="s">
        <v>29</v>
      </c>
      <c r="D515" t="s">
        <v>23</v>
      </c>
      <c r="E515" t="s">
        <v>79</v>
      </c>
      <c r="F515" t="s">
        <v>93</v>
      </c>
      <c r="G515" t="s">
        <v>42</v>
      </c>
      <c r="H515" t="s">
        <v>43</v>
      </c>
      <c r="I515" s="3">
        <v>120946.4</v>
      </c>
      <c r="J515">
        <v>8</v>
      </c>
      <c r="K515" s="5">
        <v>0.05</v>
      </c>
      <c r="L515" s="3">
        <v>14517.85</v>
      </c>
      <c r="M515" t="s">
        <v>20</v>
      </c>
      <c r="N515">
        <f t="shared" si="16"/>
        <v>2025</v>
      </c>
      <c r="O515" t="str">
        <f t="shared" si="17"/>
        <v>October</v>
      </c>
    </row>
    <row r="516" spans="1:15" x14ac:dyDescent="0.2">
      <c r="A516" t="s">
        <v>625</v>
      </c>
      <c r="B516" s="7">
        <v>45360</v>
      </c>
      <c r="C516" t="s">
        <v>90</v>
      </c>
      <c r="D516" t="s">
        <v>15</v>
      </c>
      <c r="E516" t="s">
        <v>65</v>
      </c>
      <c r="F516" t="s">
        <v>66</v>
      </c>
      <c r="G516" t="s">
        <v>58</v>
      </c>
      <c r="H516" t="s">
        <v>74</v>
      </c>
      <c r="I516" s="3">
        <v>4199</v>
      </c>
      <c r="J516">
        <v>4</v>
      </c>
      <c r="K516" s="5">
        <v>0.15</v>
      </c>
      <c r="L516" s="3">
        <v>1013.5</v>
      </c>
      <c r="M516" t="s">
        <v>27</v>
      </c>
      <c r="N516">
        <f t="shared" si="16"/>
        <v>2024</v>
      </c>
      <c r="O516" t="str">
        <f t="shared" si="17"/>
        <v>March</v>
      </c>
    </row>
    <row r="517" spans="1:15" x14ac:dyDescent="0.2">
      <c r="A517" t="s">
        <v>626</v>
      </c>
      <c r="B517" s="7">
        <v>45309</v>
      </c>
      <c r="C517" t="s">
        <v>68</v>
      </c>
      <c r="D517" t="s">
        <v>15</v>
      </c>
      <c r="E517" t="s">
        <v>61</v>
      </c>
      <c r="F517" t="s">
        <v>144</v>
      </c>
      <c r="G517" t="s">
        <v>58</v>
      </c>
      <c r="H517" t="s">
        <v>84</v>
      </c>
      <c r="I517" s="3">
        <v>10419.200000000001</v>
      </c>
      <c r="J517">
        <v>8</v>
      </c>
      <c r="K517" s="5">
        <v>0.2</v>
      </c>
      <c r="L517" s="3">
        <v>1839.94</v>
      </c>
      <c r="M517" t="s">
        <v>40</v>
      </c>
      <c r="N517">
        <f t="shared" si="16"/>
        <v>2024</v>
      </c>
      <c r="O517" t="str">
        <f t="shared" si="17"/>
        <v>January</v>
      </c>
    </row>
    <row r="518" spans="1:15" x14ac:dyDescent="0.2">
      <c r="A518" t="s">
        <v>627</v>
      </c>
      <c r="B518" s="7">
        <v>45943</v>
      </c>
      <c r="C518" t="s">
        <v>45</v>
      </c>
      <c r="D518" t="s">
        <v>15</v>
      </c>
      <c r="E518" t="s">
        <v>16</v>
      </c>
      <c r="F518" t="s">
        <v>204</v>
      </c>
      <c r="G518" t="s">
        <v>33</v>
      </c>
      <c r="H518" t="s">
        <v>34</v>
      </c>
      <c r="I518" s="3">
        <v>853.2</v>
      </c>
      <c r="J518">
        <v>3</v>
      </c>
      <c r="K518" s="5">
        <v>0.1</v>
      </c>
      <c r="L518" s="3">
        <v>108.55</v>
      </c>
      <c r="M518" t="s">
        <v>20</v>
      </c>
      <c r="N518">
        <f t="shared" si="16"/>
        <v>2025</v>
      </c>
      <c r="O518" t="str">
        <f t="shared" si="17"/>
        <v>October</v>
      </c>
    </row>
    <row r="519" spans="1:15" x14ac:dyDescent="0.2">
      <c r="A519" t="s">
        <v>628</v>
      </c>
      <c r="B519" s="7">
        <v>45615</v>
      </c>
      <c r="C519" t="s">
        <v>68</v>
      </c>
      <c r="D519" t="s">
        <v>30</v>
      </c>
      <c r="E519" t="s">
        <v>104</v>
      </c>
      <c r="F519" t="s">
        <v>170</v>
      </c>
      <c r="G519" t="s">
        <v>18</v>
      </c>
      <c r="H519" t="s">
        <v>26</v>
      </c>
      <c r="I519" s="3">
        <v>9350.4</v>
      </c>
      <c r="J519">
        <v>3</v>
      </c>
      <c r="K519" s="5">
        <v>0.2</v>
      </c>
      <c r="L519" s="3">
        <v>883.81</v>
      </c>
      <c r="M519" t="s">
        <v>27</v>
      </c>
      <c r="N519">
        <f t="shared" si="16"/>
        <v>2024</v>
      </c>
      <c r="O519" t="str">
        <f t="shared" si="17"/>
        <v>November</v>
      </c>
    </row>
    <row r="520" spans="1:15" x14ac:dyDescent="0.2">
      <c r="A520" t="s">
        <v>629</v>
      </c>
      <c r="B520" s="7">
        <v>45713</v>
      </c>
      <c r="C520" t="s">
        <v>45</v>
      </c>
      <c r="D520" t="s">
        <v>15</v>
      </c>
      <c r="E520" t="s">
        <v>65</v>
      </c>
      <c r="F520" t="s">
        <v>147</v>
      </c>
      <c r="G520" t="s">
        <v>18</v>
      </c>
      <c r="H520" t="s">
        <v>19</v>
      </c>
      <c r="I520" s="3">
        <v>1126.8</v>
      </c>
      <c r="J520">
        <v>1</v>
      </c>
      <c r="K520" s="5">
        <v>0.1</v>
      </c>
      <c r="L520" s="3">
        <v>237.49</v>
      </c>
      <c r="M520" t="s">
        <v>40</v>
      </c>
      <c r="N520">
        <f t="shared" si="16"/>
        <v>2025</v>
      </c>
      <c r="O520" t="str">
        <f t="shared" si="17"/>
        <v>February</v>
      </c>
    </row>
    <row r="521" spans="1:15" x14ac:dyDescent="0.2">
      <c r="A521" t="s">
        <v>630</v>
      </c>
      <c r="B521" s="7">
        <v>45309</v>
      </c>
      <c r="C521" t="s">
        <v>29</v>
      </c>
      <c r="D521" t="s">
        <v>23</v>
      </c>
      <c r="E521" t="s">
        <v>24</v>
      </c>
      <c r="F521" t="s">
        <v>77</v>
      </c>
      <c r="G521" t="s">
        <v>33</v>
      </c>
      <c r="H521" t="s">
        <v>48</v>
      </c>
      <c r="I521" s="3">
        <v>57102</v>
      </c>
      <c r="J521">
        <v>2</v>
      </c>
      <c r="K521" s="5">
        <v>0</v>
      </c>
      <c r="L521" s="3">
        <v>13919.69</v>
      </c>
      <c r="M521" t="s">
        <v>27</v>
      </c>
      <c r="N521">
        <f t="shared" si="16"/>
        <v>2024</v>
      </c>
      <c r="O521" t="str">
        <f t="shared" si="17"/>
        <v>January</v>
      </c>
    </row>
    <row r="522" spans="1:15" x14ac:dyDescent="0.2">
      <c r="A522" t="s">
        <v>631</v>
      </c>
      <c r="B522" s="7">
        <v>46002</v>
      </c>
      <c r="C522" t="s">
        <v>55</v>
      </c>
      <c r="D522" t="s">
        <v>30</v>
      </c>
      <c r="E522" t="s">
        <v>104</v>
      </c>
      <c r="F522" t="s">
        <v>170</v>
      </c>
      <c r="G522" t="s">
        <v>33</v>
      </c>
      <c r="H522" t="s">
        <v>109</v>
      </c>
      <c r="I522" s="3">
        <v>64698</v>
      </c>
      <c r="J522">
        <v>6</v>
      </c>
      <c r="K522" s="5">
        <v>0</v>
      </c>
      <c r="L522" s="3">
        <v>8053.06</v>
      </c>
      <c r="M522" t="s">
        <v>40</v>
      </c>
      <c r="N522">
        <f t="shared" si="16"/>
        <v>2025</v>
      </c>
      <c r="O522" t="str">
        <f t="shared" si="17"/>
        <v>December</v>
      </c>
    </row>
    <row r="523" spans="1:15" x14ac:dyDescent="0.2">
      <c r="A523" t="s">
        <v>632</v>
      </c>
      <c r="B523" s="7">
        <v>45733</v>
      </c>
      <c r="C523" t="s">
        <v>14</v>
      </c>
      <c r="D523" t="s">
        <v>30</v>
      </c>
      <c r="E523" t="s">
        <v>31</v>
      </c>
      <c r="F523" t="s">
        <v>32</v>
      </c>
      <c r="G523" t="s">
        <v>33</v>
      </c>
      <c r="H523" t="s">
        <v>48</v>
      </c>
      <c r="I523" s="3">
        <v>31220</v>
      </c>
      <c r="J523">
        <v>7</v>
      </c>
      <c r="K523" s="5">
        <v>0</v>
      </c>
      <c r="L523" s="3">
        <v>7334.78</v>
      </c>
      <c r="M523" t="s">
        <v>40</v>
      </c>
      <c r="N523">
        <f t="shared" si="16"/>
        <v>2025</v>
      </c>
      <c r="O523" t="str">
        <f t="shared" si="17"/>
        <v>March</v>
      </c>
    </row>
    <row r="524" spans="1:15" x14ac:dyDescent="0.2">
      <c r="A524" t="s">
        <v>633</v>
      </c>
      <c r="B524" s="7">
        <v>45418</v>
      </c>
      <c r="C524" t="s">
        <v>90</v>
      </c>
      <c r="D524" t="s">
        <v>23</v>
      </c>
      <c r="E524" t="s">
        <v>82</v>
      </c>
      <c r="F524" t="s">
        <v>265</v>
      </c>
      <c r="G524" t="s">
        <v>18</v>
      </c>
      <c r="H524" t="s">
        <v>63</v>
      </c>
      <c r="I524" s="3">
        <v>20180</v>
      </c>
      <c r="J524">
        <v>5</v>
      </c>
      <c r="K524" s="5">
        <v>0</v>
      </c>
      <c r="L524" s="3">
        <v>4659.76</v>
      </c>
      <c r="M524" t="s">
        <v>40</v>
      </c>
      <c r="N524">
        <f t="shared" si="16"/>
        <v>2024</v>
      </c>
      <c r="O524" t="str">
        <f t="shared" si="17"/>
        <v>May</v>
      </c>
    </row>
    <row r="525" spans="1:15" x14ac:dyDescent="0.2">
      <c r="A525" t="s">
        <v>634</v>
      </c>
      <c r="B525" s="7">
        <v>45804</v>
      </c>
      <c r="C525" t="s">
        <v>90</v>
      </c>
      <c r="D525" t="s">
        <v>15</v>
      </c>
      <c r="E525" t="s">
        <v>46</v>
      </c>
      <c r="F525" t="s">
        <v>176</v>
      </c>
      <c r="G525" t="s">
        <v>33</v>
      </c>
      <c r="H525" t="s">
        <v>34</v>
      </c>
      <c r="I525" s="3">
        <v>4453.2</v>
      </c>
      <c r="J525">
        <v>2</v>
      </c>
      <c r="K525" s="5">
        <v>0.1</v>
      </c>
      <c r="L525" s="3">
        <v>558.61</v>
      </c>
      <c r="M525" t="s">
        <v>40</v>
      </c>
      <c r="N525">
        <f t="shared" si="16"/>
        <v>2025</v>
      </c>
      <c r="O525" t="str">
        <f t="shared" si="17"/>
        <v>May</v>
      </c>
    </row>
    <row r="526" spans="1:15" x14ac:dyDescent="0.2">
      <c r="A526" t="s">
        <v>635</v>
      </c>
      <c r="B526" s="7">
        <v>45842</v>
      </c>
      <c r="C526" t="s">
        <v>14</v>
      </c>
      <c r="D526" t="s">
        <v>15</v>
      </c>
      <c r="E526" t="s">
        <v>56</v>
      </c>
      <c r="F526" t="s">
        <v>100</v>
      </c>
      <c r="G526" t="s">
        <v>18</v>
      </c>
      <c r="H526" t="s">
        <v>70</v>
      </c>
      <c r="I526" s="3">
        <v>795.6</v>
      </c>
      <c r="J526">
        <v>1</v>
      </c>
      <c r="K526" s="5">
        <v>0.1</v>
      </c>
      <c r="L526" s="3">
        <v>71.09</v>
      </c>
      <c r="M526" t="s">
        <v>20</v>
      </c>
      <c r="N526">
        <f t="shared" si="16"/>
        <v>2025</v>
      </c>
      <c r="O526" t="str">
        <f t="shared" si="17"/>
        <v>July</v>
      </c>
    </row>
    <row r="527" spans="1:15" x14ac:dyDescent="0.2">
      <c r="A527" t="s">
        <v>636</v>
      </c>
      <c r="B527" s="7">
        <v>45726</v>
      </c>
      <c r="C527" t="s">
        <v>76</v>
      </c>
      <c r="D527" t="s">
        <v>23</v>
      </c>
      <c r="E527" t="s">
        <v>172</v>
      </c>
      <c r="F527" t="s">
        <v>173</v>
      </c>
      <c r="G527" t="s">
        <v>58</v>
      </c>
      <c r="H527" t="s">
        <v>84</v>
      </c>
      <c r="I527" s="3">
        <v>81035.100000000006</v>
      </c>
      <c r="J527">
        <v>3</v>
      </c>
      <c r="K527" s="5">
        <v>0.1</v>
      </c>
      <c r="L527" s="3">
        <v>20360.900000000001</v>
      </c>
      <c r="M527" t="s">
        <v>35</v>
      </c>
      <c r="N527">
        <f t="shared" si="16"/>
        <v>2025</v>
      </c>
      <c r="O527" t="str">
        <f t="shared" si="17"/>
        <v>March</v>
      </c>
    </row>
    <row r="528" spans="1:15" x14ac:dyDescent="0.2">
      <c r="A528" t="s">
        <v>637</v>
      </c>
      <c r="B528" s="7">
        <v>46013</v>
      </c>
      <c r="C528" t="s">
        <v>68</v>
      </c>
      <c r="D528" t="s">
        <v>23</v>
      </c>
      <c r="E528" t="s">
        <v>38</v>
      </c>
      <c r="F528" t="s">
        <v>140</v>
      </c>
      <c r="G528" t="s">
        <v>18</v>
      </c>
      <c r="H528" t="s">
        <v>19</v>
      </c>
      <c r="I528" s="3">
        <v>57317.2</v>
      </c>
      <c r="J528">
        <v>8</v>
      </c>
      <c r="K528" s="5">
        <v>0.15</v>
      </c>
      <c r="L528" s="3">
        <v>11174.26</v>
      </c>
      <c r="M528" t="s">
        <v>35</v>
      </c>
      <c r="N528">
        <f t="shared" si="16"/>
        <v>2025</v>
      </c>
      <c r="O528" t="str">
        <f t="shared" si="17"/>
        <v>December</v>
      </c>
    </row>
    <row r="529" spans="1:15" x14ac:dyDescent="0.2">
      <c r="A529" t="s">
        <v>638</v>
      </c>
      <c r="B529" s="7">
        <v>45995</v>
      </c>
      <c r="C529" t="s">
        <v>29</v>
      </c>
      <c r="D529" t="s">
        <v>15</v>
      </c>
      <c r="E529" t="s">
        <v>16</v>
      </c>
      <c r="F529" t="s">
        <v>204</v>
      </c>
      <c r="G529" t="s">
        <v>18</v>
      </c>
      <c r="H529" t="s">
        <v>19</v>
      </c>
      <c r="I529" s="3">
        <v>3153.6</v>
      </c>
      <c r="J529">
        <v>2</v>
      </c>
      <c r="K529" s="5">
        <v>0.2</v>
      </c>
      <c r="L529" s="3">
        <v>558.92999999999995</v>
      </c>
      <c r="M529" t="s">
        <v>40</v>
      </c>
      <c r="N529">
        <f t="shared" si="16"/>
        <v>2025</v>
      </c>
      <c r="O529" t="str">
        <f t="shared" si="17"/>
        <v>December</v>
      </c>
    </row>
    <row r="530" spans="1:15" x14ac:dyDescent="0.2">
      <c r="A530" t="s">
        <v>639</v>
      </c>
      <c r="B530" s="7">
        <v>45982</v>
      </c>
      <c r="C530" t="s">
        <v>29</v>
      </c>
      <c r="D530" t="s">
        <v>15</v>
      </c>
      <c r="E530" t="s">
        <v>61</v>
      </c>
      <c r="F530" t="s">
        <v>111</v>
      </c>
      <c r="G530" t="s">
        <v>42</v>
      </c>
      <c r="H530" t="s">
        <v>43</v>
      </c>
      <c r="I530" s="3">
        <v>3049.5</v>
      </c>
      <c r="J530">
        <v>2</v>
      </c>
      <c r="K530" s="5">
        <v>0.05</v>
      </c>
      <c r="L530" s="3">
        <v>213.64</v>
      </c>
      <c r="M530" t="s">
        <v>20</v>
      </c>
      <c r="N530">
        <f t="shared" si="16"/>
        <v>2025</v>
      </c>
      <c r="O530" t="str">
        <f t="shared" si="17"/>
        <v>November</v>
      </c>
    </row>
    <row r="531" spans="1:15" x14ac:dyDescent="0.2">
      <c r="A531" t="s">
        <v>640</v>
      </c>
      <c r="B531" s="7">
        <v>45495</v>
      </c>
      <c r="C531" t="s">
        <v>45</v>
      </c>
      <c r="D531" t="s">
        <v>30</v>
      </c>
      <c r="E531" t="s">
        <v>122</v>
      </c>
      <c r="F531" t="s">
        <v>131</v>
      </c>
      <c r="G531" t="s">
        <v>18</v>
      </c>
      <c r="H531" t="s">
        <v>70</v>
      </c>
      <c r="I531" s="3">
        <v>28931</v>
      </c>
      <c r="J531">
        <v>7</v>
      </c>
      <c r="K531" s="5">
        <v>0</v>
      </c>
      <c r="L531" s="3">
        <v>4418.9799999999996</v>
      </c>
      <c r="M531" t="s">
        <v>40</v>
      </c>
      <c r="N531">
        <f t="shared" si="16"/>
        <v>2024</v>
      </c>
      <c r="O531" t="str">
        <f t="shared" si="17"/>
        <v>July</v>
      </c>
    </row>
    <row r="532" spans="1:15" x14ac:dyDescent="0.2">
      <c r="A532" t="s">
        <v>641</v>
      </c>
      <c r="B532" s="7">
        <v>45909</v>
      </c>
      <c r="C532" t="s">
        <v>22</v>
      </c>
      <c r="D532" t="s">
        <v>15</v>
      </c>
      <c r="E532" t="s">
        <v>61</v>
      </c>
      <c r="F532" t="s">
        <v>62</v>
      </c>
      <c r="G532" t="s">
        <v>18</v>
      </c>
      <c r="H532" t="s">
        <v>26</v>
      </c>
      <c r="I532" s="3">
        <v>12520.8</v>
      </c>
      <c r="J532">
        <v>8</v>
      </c>
      <c r="K532" s="5">
        <v>0.1</v>
      </c>
      <c r="L532" s="3">
        <v>1880.19</v>
      </c>
      <c r="M532" t="s">
        <v>49</v>
      </c>
      <c r="N532">
        <f t="shared" si="16"/>
        <v>2025</v>
      </c>
      <c r="O532" t="str">
        <f t="shared" si="17"/>
        <v>September</v>
      </c>
    </row>
    <row r="533" spans="1:15" x14ac:dyDescent="0.2">
      <c r="A533" t="s">
        <v>642</v>
      </c>
      <c r="B533" s="7">
        <v>45429</v>
      </c>
      <c r="C533" t="s">
        <v>14</v>
      </c>
      <c r="D533" t="s">
        <v>15</v>
      </c>
      <c r="E533" t="s">
        <v>65</v>
      </c>
      <c r="F533" t="s">
        <v>147</v>
      </c>
      <c r="G533" t="s">
        <v>33</v>
      </c>
      <c r="H533" t="s">
        <v>109</v>
      </c>
      <c r="I533" s="3">
        <v>4058.4</v>
      </c>
      <c r="J533">
        <v>2</v>
      </c>
      <c r="K533" s="5">
        <v>0.05</v>
      </c>
      <c r="L533" s="3">
        <v>783.98</v>
      </c>
      <c r="M533" t="s">
        <v>20</v>
      </c>
      <c r="N533">
        <f t="shared" si="16"/>
        <v>2024</v>
      </c>
      <c r="O533" t="str">
        <f t="shared" si="17"/>
        <v>May</v>
      </c>
    </row>
    <row r="534" spans="1:15" x14ac:dyDescent="0.2">
      <c r="A534" t="s">
        <v>643</v>
      </c>
      <c r="B534" s="7">
        <v>45448</v>
      </c>
      <c r="C534" t="s">
        <v>68</v>
      </c>
      <c r="D534" t="s">
        <v>15</v>
      </c>
      <c r="E534" t="s">
        <v>16</v>
      </c>
      <c r="F534" t="s">
        <v>230</v>
      </c>
      <c r="G534" t="s">
        <v>18</v>
      </c>
      <c r="H534" t="s">
        <v>63</v>
      </c>
      <c r="I534" s="3">
        <v>1333.6</v>
      </c>
      <c r="J534">
        <v>1</v>
      </c>
      <c r="K534" s="5">
        <v>0.2</v>
      </c>
      <c r="L534" s="3">
        <v>221.17</v>
      </c>
      <c r="M534" t="s">
        <v>35</v>
      </c>
      <c r="N534">
        <f t="shared" si="16"/>
        <v>2024</v>
      </c>
      <c r="O534" t="str">
        <f t="shared" si="17"/>
        <v>June</v>
      </c>
    </row>
    <row r="535" spans="1:15" x14ac:dyDescent="0.2">
      <c r="A535" t="s">
        <v>644</v>
      </c>
      <c r="B535" s="7">
        <v>45643</v>
      </c>
      <c r="C535" t="s">
        <v>51</v>
      </c>
      <c r="D535" t="s">
        <v>15</v>
      </c>
      <c r="E535" t="s">
        <v>16</v>
      </c>
      <c r="F535" t="s">
        <v>204</v>
      </c>
      <c r="G535" t="s">
        <v>18</v>
      </c>
      <c r="H535" t="s">
        <v>63</v>
      </c>
      <c r="I535" s="3">
        <v>6745.6</v>
      </c>
      <c r="J535">
        <v>4</v>
      </c>
      <c r="K535" s="5">
        <v>0.2</v>
      </c>
      <c r="L535" s="3">
        <v>555.39</v>
      </c>
      <c r="M535" t="s">
        <v>35</v>
      </c>
      <c r="N535">
        <f t="shared" si="16"/>
        <v>2024</v>
      </c>
      <c r="O535" t="str">
        <f t="shared" si="17"/>
        <v>December</v>
      </c>
    </row>
    <row r="536" spans="1:15" x14ac:dyDescent="0.2">
      <c r="A536" t="s">
        <v>645</v>
      </c>
      <c r="B536" s="7">
        <v>45473</v>
      </c>
      <c r="C536" t="s">
        <v>51</v>
      </c>
      <c r="D536" t="s">
        <v>23</v>
      </c>
      <c r="E536" t="s">
        <v>82</v>
      </c>
      <c r="F536" t="s">
        <v>83</v>
      </c>
      <c r="G536" t="s">
        <v>58</v>
      </c>
      <c r="H536" t="s">
        <v>95</v>
      </c>
      <c r="I536" s="3">
        <v>148335.20000000001</v>
      </c>
      <c r="J536">
        <v>8</v>
      </c>
      <c r="K536" s="5">
        <v>0.15</v>
      </c>
      <c r="L536" s="3">
        <v>7371.7</v>
      </c>
      <c r="M536" t="s">
        <v>27</v>
      </c>
      <c r="N536">
        <f t="shared" si="16"/>
        <v>2024</v>
      </c>
      <c r="O536" t="str">
        <f t="shared" si="17"/>
        <v>June</v>
      </c>
    </row>
    <row r="537" spans="1:15" x14ac:dyDescent="0.2">
      <c r="A537" t="s">
        <v>646</v>
      </c>
      <c r="B537" s="7">
        <v>45794</v>
      </c>
      <c r="C537" t="s">
        <v>51</v>
      </c>
      <c r="D537" t="s">
        <v>15</v>
      </c>
      <c r="E537" t="s">
        <v>46</v>
      </c>
      <c r="F537" t="s">
        <v>176</v>
      </c>
      <c r="G537" t="s">
        <v>58</v>
      </c>
      <c r="H537" t="s">
        <v>59</v>
      </c>
      <c r="I537" s="3">
        <v>10480</v>
      </c>
      <c r="J537">
        <v>5</v>
      </c>
      <c r="K537" s="5">
        <v>0</v>
      </c>
      <c r="L537" s="3">
        <v>2030.72</v>
      </c>
      <c r="M537" t="s">
        <v>35</v>
      </c>
      <c r="N537">
        <f t="shared" si="16"/>
        <v>2025</v>
      </c>
      <c r="O537" t="str">
        <f t="shared" si="17"/>
        <v>May</v>
      </c>
    </row>
    <row r="538" spans="1:15" x14ac:dyDescent="0.2">
      <c r="A538" t="s">
        <v>647</v>
      </c>
      <c r="B538" s="7">
        <v>45923</v>
      </c>
      <c r="C538" t="s">
        <v>45</v>
      </c>
      <c r="D538" t="s">
        <v>15</v>
      </c>
      <c r="E538" t="s">
        <v>61</v>
      </c>
      <c r="F538" t="s">
        <v>144</v>
      </c>
      <c r="G538" t="s">
        <v>58</v>
      </c>
      <c r="H538" t="s">
        <v>74</v>
      </c>
      <c r="I538" s="3">
        <v>1700.8</v>
      </c>
      <c r="J538">
        <v>1</v>
      </c>
      <c r="K538" s="5">
        <v>0.2</v>
      </c>
      <c r="L538" s="3">
        <v>381.28</v>
      </c>
      <c r="M538" t="s">
        <v>27</v>
      </c>
      <c r="N538">
        <f t="shared" si="16"/>
        <v>2025</v>
      </c>
      <c r="O538" t="str">
        <f t="shared" si="17"/>
        <v>September</v>
      </c>
    </row>
    <row r="539" spans="1:15" x14ac:dyDescent="0.2">
      <c r="A539" t="s">
        <v>648</v>
      </c>
      <c r="B539" s="7">
        <v>45645</v>
      </c>
      <c r="C539" t="s">
        <v>45</v>
      </c>
      <c r="D539" t="s">
        <v>30</v>
      </c>
      <c r="E539" t="s">
        <v>52</v>
      </c>
      <c r="F539" t="s">
        <v>53</v>
      </c>
      <c r="G539" t="s">
        <v>18</v>
      </c>
      <c r="H539" t="s">
        <v>70</v>
      </c>
      <c r="I539" s="3">
        <v>8573.1</v>
      </c>
      <c r="J539">
        <v>6</v>
      </c>
      <c r="K539" s="5">
        <v>0.15</v>
      </c>
      <c r="L539" s="3">
        <v>531.28</v>
      </c>
      <c r="M539" t="s">
        <v>49</v>
      </c>
      <c r="N539">
        <f t="shared" si="16"/>
        <v>2024</v>
      </c>
      <c r="O539" t="str">
        <f t="shared" si="17"/>
        <v>December</v>
      </c>
    </row>
    <row r="540" spans="1:15" x14ac:dyDescent="0.2">
      <c r="A540" t="s">
        <v>649</v>
      </c>
      <c r="B540" s="7">
        <v>45465</v>
      </c>
      <c r="C540" t="s">
        <v>14</v>
      </c>
      <c r="D540" t="s">
        <v>30</v>
      </c>
      <c r="E540" t="s">
        <v>52</v>
      </c>
      <c r="F540" t="s">
        <v>53</v>
      </c>
      <c r="G540" t="s">
        <v>33</v>
      </c>
      <c r="H540" t="s">
        <v>48</v>
      </c>
      <c r="I540" s="3">
        <v>16123.5</v>
      </c>
      <c r="J540">
        <v>5</v>
      </c>
      <c r="K540" s="5">
        <v>0.1</v>
      </c>
      <c r="L540" s="3">
        <v>1255.93</v>
      </c>
      <c r="M540" t="s">
        <v>35</v>
      </c>
      <c r="N540">
        <f t="shared" si="16"/>
        <v>2024</v>
      </c>
      <c r="O540" t="str">
        <f t="shared" si="17"/>
        <v>June</v>
      </c>
    </row>
    <row r="541" spans="1:15" x14ac:dyDescent="0.2">
      <c r="A541" t="s">
        <v>650</v>
      </c>
      <c r="B541" s="7">
        <v>45616</v>
      </c>
      <c r="C541" t="s">
        <v>22</v>
      </c>
      <c r="D541" t="s">
        <v>30</v>
      </c>
      <c r="E541" t="s">
        <v>52</v>
      </c>
      <c r="F541" t="s">
        <v>118</v>
      </c>
      <c r="G541" t="s">
        <v>58</v>
      </c>
      <c r="H541" t="s">
        <v>59</v>
      </c>
      <c r="I541" s="3">
        <v>8220.7999999999993</v>
      </c>
      <c r="J541">
        <v>7</v>
      </c>
      <c r="K541" s="5">
        <v>0.2</v>
      </c>
      <c r="L541" s="3">
        <v>283.18</v>
      </c>
      <c r="M541" t="s">
        <v>35</v>
      </c>
      <c r="N541">
        <f t="shared" si="16"/>
        <v>2024</v>
      </c>
      <c r="O541" t="str">
        <f t="shared" si="17"/>
        <v>November</v>
      </c>
    </row>
    <row r="542" spans="1:15" x14ac:dyDescent="0.2">
      <c r="A542" t="s">
        <v>651</v>
      </c>
      <c r="B542" s="7">
        <v>45598</v>
      </c>
      <c r="C542" t="s">
        <v>45</v>
      </c>
      <c r="D542" t="s">
        <v>30</v>
      </c>
      <c r="E542" t="s">
        <v>104</v>
      </c>
      <c r="F542" t="s">
        <v>105</v>
      </c>
      <c r="G542" t="s">
        <v>18</v>
      </c>
      <c r="H542" t="s">
        <v>63</v>
      </c>
      <c r="I542" s="3">
        <v>61473.599999999999</v>
      </c>
      <c r="J542">
        <v>4</v>
      </c>
      <c r="K542" s="5">
        <v>0.1</v>
      </c>
      <c r="L542" s="3">
        <v>5429.68</v>
      </c>
      <c r="M542" t="s">
        <v>49</v>
      </c>
      <c r="N542">
        <f t="shared" si="16"/>
        <v>2024</v>
      </c>
      <c r="O542" t="str">
        <f t="shared" si="17"/>
        <v>November</v>
      </c>
    </row>
    <row r="543" spans="1:15" x14ac:dyDescent="0.2">
      <c r="A543" t="s">
        <v>652</v>
      </c>
      <c r="B543" s="7">
        <v>45931</v>
      </c>
      <c r="C543" t="s">
        <v>37</v>
      </c>
      <c r="D543" t="s">
        <v>23</v>
      </c>
      <c r="E543" t="s">
        <v>38</v>
      </c>
      <c r="F543" t="s">
        <v>91</v>
      </c>
      <c r="G543" t="s">
        <v>18</v>
      </c>
      <c r="H543" t="s">
        <v>26</v>
      </c>
      <c r="I543" s="3">
        <v>18338.75</v>
      </c>
      <c r="J543">
        <v>5</v>
      </c>
      <c r="K543" s="5">
        <v>0.15</v>
      </c>
      <c r="L543" s="3">
        <v>3730.48</v>
      </c>
      <c r="M543" t="s">
        <v>35</v>
      </c>
      <c r="N543">
        <f t="shared" si="16"/>
        <v>2025</v>
      </c>
      <c r="O543" t="str">
        <f t="shared" si="17"/>
        <v>October</v>
      </c>
    </row>
    <row r="544" spans="1:15" x14ac:dyDescent="0.2">
      <c r="A544" t="s">
        <v>653</v>
      </c>
      <c r="B544" s="7">
        <v>45601</v>
      </c>
      <c r="C544" t="s">
        <v>51</v>
      </c>
      <c r="D544" t="s">
        <v>23</v>
      </c>
      <c r="E544" t="s">
        <v>172</v>
      </c>
      <c r="F544" t="s">
        <v>182</v>
      </c>
      <c r="G544" t="s">
        <v>42</v>
      </c>
      <c r="H544" t="s">
        <v>119</v>
      </c>
      <c r="I544" s="3">
        <v>233520</v>
      </c>
      <c r="J544">
        <v>8</v>
      </c>
      <c r="K544" s="5">
        <v>0</v>
      </c>
      <c r="L544" s="3">
        <v>49110.98</v>
      </c>
      <c r="M544" t="s">
        <v>27</v>
      </c>
      <c r="N544">
        <f t="shared" si="16"/>
        <v>2024</v>
      </c>
      <c r="O544" t="str">
        <f t="shared" si="17"/>
        <v>November</v>
      </c>
    </row>
    <row r="545" spans="1:15" x14ac:dyDescent="0.2">
      <c r="A545" t="s">
        <v>654</v>
      </c>
      <c r="B545" s="7">
        <v>45311</v>
      </c>
      <c r="C545" t="s">
        <v>51</v>
      </c>
      <c r="D545" t="s">
        <v>30</v>
      </c>
      <c r="E545" t="s">
        <v>72</v>
      </c>
      <c r="F545" t="s">
        <v>207</v>
      </c>
      <c r="G545" t="s">
        <v>42</v>
      </c>
      <c r="H545" t="s">
        <v>98</v>
      </c>
      <c r="I545" s="3">
        <v>99047.2</v>
      </c>
      <c r="J545">
        <v>7</v>
      </c>
      <c r="K545" s="5">
        <v>0.2</v>
      </c>
      <c r="L545" s="3">
        <v>6549.02</v>
      </c>
      <c r="M545" t="s">
        <v>40</v>
      </c>
      <c r="N545">
        <f t="shared" si="16"/>
        <v>2024</v>
      </c>
      <c r="O545" t="str">
        <f t="shared" si="17"/>
        <v>January</v>
      </c>
    </row>
    <row r="546" spans="1:15" x14ac:dyDescent="0.2">
      <c r="A546" t="s">
        <v>655</v>
      </c>
      <c r="B546" s="7">
        <v>45443</v>
      </c>
      <c r="C546" t="s">
        <v>76</v>
      </c>
      <c r="D546" t="s">
        <v>15</v>
      </c>
      <c r="E546" t="s">
        <v>61</v>
      </c>
      <c r="F546" t="s">
        <v>62</v>
      </c>
      <c r="G546" t="s">
        <v>33</v>
      </c>
      <c r="H546" t="s">
        <v>109</v>
      </c>
      <c r="I546" s="3">
        <v>14889.35</v>
      </c>
      <c r="J546">
        <v>7</v>
      </c>
      <c r="K546" s="5">
        <v>0.05</v>
      </c>
      <c r="L546" s="3">
        <v>2089.79</v>
      </c>
      <c r="M546" t="s">
        <v>40</v>
      </c>
      <c r="N546">
        <f t="shared" si="16"/>
        <v>2024</v>
      </c>
      <c r="O546" t="str">
        <f t="shared" si="17"/>
        <v>May</v>
      </c>
    </row>
    <row r="547" spans="1:15" x14ac:dyDescent="0.2">
      <c r="A547" t="s">
        <v>656</v>
      </c>
      <c r="B547" s="7">
        <v>45953</v>
      </c>
      <c r="C547" t="s">
        <v>55</v>
      </c>
      <c r="D547" t="s">
        <v>15</v>
      </c>
      <c r="E547" t="s">
        <v>65</v>
      </c>
      <c r="F547" t="s">
        <v>66</v>
      </c>
      <c r="G547" t="s">
        <v>58</v>
      </c>
      <c r="H547" t="s">
        <v>59</v>
      </c>
      <c r="I547" s="3">
        <v>3220.2</v>
      </c>
      <c r="J547">
        <v>2</v>
      </c>
      <c r="K547" s="5">
        <v>0.1</v>
      </c>
      <c r="L547" s="3">
        <v>707.61</v>
      </c>
      <c r="M547" t="s">
        <v>27</v>
      </c>
      <c r="N547">
        <f t="shared" si="16"/>
        <v>2025</v>
      </c>
      <c r="O547" t="str">
        <f t="shared" si="17"/>
        <v>October</v>
      </c>
    </row>
    <row r="548" spans="1:15" x14ac:dyDescent="0.2">
      <c r="A548" t="s">
        <v>657</v>
      </c>
      <c r="B548" s="7">
        <v>45609</v>
      </c>
      <c r="C548" t="s">
        <v>29</v>
      </c>
      <c r="D548" t="s">
        <v>15</v>
      </c>
      <c r="E548" t="s">
        <v>56</v>
      </c>
      <c r="F548" t="s">
        <v>88</v>
      </c>
      <c r="G548" t="s">
        <v>33</v>
      </c>
      <c r="H548" t="s">
        <v>109</v>
      </c>
      <c r="I548" s="3">
        <v>404.7</v>
      </c>
      <c r="J548">
        <v>2</v>
      </c>
      <c r="K548" s="5">
        <v>0.05</v>
      </c>
      <c r="L548" s="3">
        <v>91.83</v>
      </c>
      <c r="M548" t="s">
        <v>49</v>
      </c>
      <c r="N548">
        <f t="shared" si="16"/>
        <v>2024</v>
      </c>
      <c r="O548" t="str">
        <f t="shared" si="17"/>
        <v>November</v>
      </c>
    </row>
    <row r="549" spans="1:15" x14ac:dyDescent="0.2">
      <c r="A549" t="s">
        <v>658</v>
      </c>
      <c r="B549" s="7">
        <v>45576</v>
      </c>
      <c r="C549" t="s">
        <v>51</v>
      </c>
      <c r="D549" t="s">
        <v>15</v>
      </c>
      <c r="E549" t="s">
        <v>61</v>
      </c>
      <c r="F549" t="s">
        <v>111</v>
      </c>
      <c r="G549" t="s">
        <v>58</v>
      </c>
      <c r="H549" t="s">
        <v>95</v>
      </c>
      <c r="I549" s="3">
        <v>591.29999999999995</v>
      </c>
      <c r="J549">
        <v>3</v>
      </c>
      <c r="K549" s="5">
        <v>0.1</v>
      </c>
      <c r="L549" s="3">
        <v>125.91</v>
      </c>
      <c r="M549" t="s">
        <v>40</v>
      </c>
      <c r="N549">
        <f t="shared" si="16"/>
        <v>2024</v>
      </c>
      <c r="O549" t="str">
        <f t="shared" si="17"/>
        <v>October</v>
      </c>
    </row>
    <row r="550" spans="1:15" x14ac:dyDescent="0.2">
      <c r="A550" t="s">
        <v>659</v>
      </c>
      <c r="B550" s="7">
        <v>45979</v>
      </c>
      <c r="C550" t="s">
        <v>37</v>
      </c>
      <c r="D550" t="s">
        <v>15</v>
      </c>
      <c r="E550" t="s">
        <v>16</v>
      </c>
      <c r="F550" t="s">
        <v>17</v>
      </c>
      <c r="G550" t="s">
        <v>58</v>
      </c>
      <c r="H550" t="s">
        <v>95</v>
      </c>
      <c r="I550" s="3">
        <v>612</v>
      </c>
      <c r="J550">
        <v>2</v>
      </c>
      <c r="K550" s="5">
        <v>0.15</v>
      </c>
      <c r="L550" s="3">
        <v>135.78</v>
      </c>
      <c r="M550" t="s">
        <v>49</v>
      </c>
      <c r="N550">
        <f t="shared" si="16"/>
        <v>2025</v>
      </c>
      <c r="O550" t="str">
        <f t="shared" si="17"/>
        <v>November</v>
      </c>
    </row>
    <row r="551" spans="1:15" x14ac:dyDescent="0.2">
      <c r="A551" t="s">
        <v>660</v>
      </c>
      <c r="B551" s="7">
        <v>45417</v>
      </c>
      <c r="C551" t="s">
        <v>45</v>
      </c>
      <c r="D551" t="s">
        <v>15</v>
      </c>
      <c r="E551" t="s">
        <v>46</v>
      </c>
      <c r="F551" t="s">
        <v>116</v>
      </c>
      <c r="G551" t="s">
        <v>33</v>
      </c>
      <c r="H551" t="s">
        <v>128</v>
      </c>
      <c r="I551" s="3">
        <v>4266</v>
      </c>
      <c r="J551">
        <v>2</v>
      </c>
      <c r="K551" s="5">
        <v>0</v>
      </c>
      <c r="L551" s="3">
        <v>544.41</v>
      </c>
      <c r="M551" t="s">
        <v>27</v>
      </c>
      <c r="N551">
        <f t="shared" si="16"/>
        <v>2024</v>
      </c>
      <c r="O551" t="str">
        <f t="shared" si="17"/>
        <v>May</v>
      </c>
    </row>
    <row r="552" spans="1:15" x14ac:dyDescent="0.2">
      <c r="A552" t="s">
        <v>661</v>
      </c>
      <c r="B552" s="7">
        <v>45552</v>
      </c>
      <c r="C552" t="s">
        <v>90</v>
      </c>
      <c r="D552" t="s">
        <v>15</v>
      </c>
      <c r="E552" t="s">
        <v>61</v>
      </c>
      <c r="F552" t="s">
        <v>111</v>
      </c>
      <c r="G552" t="s">
        <v>33</v>
      </c>
      <c r="H552" t="s">
        <v>109</v>
      </c>
      <c r="I552" s="3">
        <v>2635.2</v>
      </c>
      <c r="J552">
        <v>3</v>
      </c>
      <c r="K552" s="5">
        <v>0.1</v>
      </c>
      <c r="L552" s="3">
        <v>376.56</v>
      </c>
      <c r="M552" t="s">
        <v>20</v>
      </c>
      <c r="N552">
        <f t="shared" si="16"/>
        <v>2024</v>
      </c>
      <c r="O552" t="str">
        <f t="shared" si="17"/>
        <v>September</v>
      </c>
    </row>
    <row r="553" spans="1:15" x14ac:dyDescent="0.2">
      <c r="A553" t="s">
        <v>662</v>
      </c>
      <c r="B553" s="7">
        <v>45668</v>
      </c>
      <c r="C553" t="s">
        <v>68</v>
      </c>
      <c r="D553" t="s">
        <v>30</v>
      </c>
      <c r="E553" t="s">
        <v>72</v>
      </c>
      <c r="F553" t="s">
        <v>207</v>
      </c>
      <c r="G553" t="s">
        <v>42</v>
      </c>
      <c r="H553" t="s">
        <v>102</v>
      </c>
      <c r="I553" s="3">
        <v>58998.8</v>
      </c>
      <c r="J553">
        <v>7</v>
      </c>
      <c r="K553" s="5">
        <v>0.05</v>
      </c>
      <c r="L553" s="3">
        <v>8265.7099999999991</v>
      </c>
      <c r="M553" t="s">
        <v>20</v>
      </c>
      <c r="N553">
        <f t="shared" si="16"/>
        <v>2025</v>
      </c>
      <c r="O553" t="str">
        <f t="shared" si="17"/>
        <v>January</v>
      </c>
    </row>
    <row r="554" spans="1:15" x14ac:dyDescent="0.2">
      <c r="A554" t="s">
        <v>663</v>
      </c>
      <c r="B554" s="7">
        <v>45993</v>
      </c>
      <c r="C554" t="s">
        <v>37</v>
      </c>
      <c r="D554" t="s">
        <v>15</v>
      </c>
      <c r="E554" t="s">
        <v>56</v>
      </c>
      <c r="F554" t="s">
        <v>100</v>
      </c>
      <c r="G554" t="s">
        <v>18</v>
      </c>
      <c r="H554" t="s">
        <v>70</v>
      </c>
      <c r="I554" s="3">
        <v>4917.6000000000004</v>
      </c>
      <c r="J554">
        <v>4</v>
      </c>
      <c r="K554" s="5">
        <v>0.1</v>
      </c>
      <c r="L554" s="3">
        <v>1158.74</v>
      </c>
      <c r="M554" t="s">
        <v>35</v>
      </c>
      <c r="N554">
        <f t="shared" si="16"/>
        <v>2025</v>
      </c>
      <c r="O554" t="str">
        <f t="shared" si="17"/>
        <v>December</v>
      </c>
    </row>
    <row r="555" spans="1:15" x14ac:dyDescent="0.2">
      <c r="A555" t="s">
        <v>664</v>
      </c>
      <c r="B555" s="7">
        <v>45456</v>
      </c>
      <c r="C555" t="s">
        <v>29</v>
      </c>
      <c r="D555" t="s">
        <v>23</v>
      </c>
      <c r="E555" t="s">
        <v>38</v>
      </c>
      <c r="F555" t="s">
        <v>91</v>
      </c>
      <c r="G555" t="s">
        <v>58</v>
      </c>
      <c r="H555" t="s">
        <v>95</v>
      </c>
      <c r="I555" s="3">
        <v>94135.5</v>
      </c>
      <c r="J555">
        <v>5</v>
      </c>
      <c r="K555" s="5">
        <v>0.1</v>
      </c>
      <c r="L555" s="3">
        <v>9138.42</v>
      </c>
      <c r="M555" t="s">
        <v>27</v>
      </c>
      <c r="N555">
        <f t="shared" si="16"/>
        <v>2024</v>
      </c>
      <c r="O555" t="str">
        <f t="shared" si="17"/>
        <v>June</v>
      </c>
    </row>
    <row r="556" spans="1:15" x14ac:dyDescent="0.2">
      <c r="A556" t="s">
        <v>665</v>
      </c>
      <c r="B556" s="7">
        <v>45394</v>
      </c>
      <c r="C556" t="s">
        <v>55</v>
      </c>
      <c r="D556" t="s">
        <v>15</v>
      </c>
      <c r="E556" t="s">
        <v>61</v>
      </c>
      <c r="F556" t="s">
        <v>111</v>
      </c>
      <c r="G556" t="s">
        <v>18</v>
      </c>
      <c r="H556" t="s">
        <v>19</v>
      </c>
      <c r="I556" s="3">
        <v>9941.6</v>
      </c>
      <c r="J556">
        <v>8</v>
      </c>
      <c r="K556" s="5">
        <v>0.15</v>
      </c>
      <c r="L556" s="3">
        <v>2165.8000000000002</v>
      </c>
      <c r="M556" t="s">
        <v>27</v>
      </c>
      <c r="N556">
        <f t="shared" si="16"/>
        <v>2024</v>
      </c>
      <c r="O556" t="str">
        <f t="shared" si="17"/>
        <v>April</v>
      </c>
    </row>
    <row r="557" spans="1:15" x14ac:dyDescent="0.2">
      <c r="A557" t="s">
        <v>666</v>
      </c>
      <c r="B557" s="7">
        <v>45948</v>
      </c>
      <c r="C557" t="s">
        <v>55</v>
      </c>
      <c r="D557" t="s">
        <v>15</v>
      </c>
      <c r="E557" t="s">
        <v>16</v>
      </c>
      <c r="F557" t="s">
        <v>230</v>
      </c>
      <c r="G557" t="s">
        <v>42</v>
      </c>
      <c r="H557" t="s">
        <v>43</v>
      </c>
      <c r="I557" s="3">
        <v>1784.1</v>
      </c>
      <c r="J557">
        <v>6</v>
      </c>
      <c r="K557" s="5">
        <v>0.05</v>
      </c>
      <c r="L557" s="3">
        <v>345.28</v>
      </c>
      <c r="M557" t="s">
        <v>20</v>
      </c>
      <c r="N557">
        <f t="shared" si="16"/>
        <v>2025</v>
      </c>
      <c r="O557" t="str">
        <f t="shared" si="17"/>
        <v>October</v>
      </c>
    </row>
    <row r="558" spans="1:15" x14ac:dyDescent="0.2">
      <c r="A558" t="s">
        <v>667</v>
      </c>
      <c r="B558" s="7">
        <v>45956</v>
      </c>
      <c r="C558" t="s">
        <v>55</v>
      </c>
      <c r="D558" t="s">
        <v>30</v>
      </c>
      <c r="E558" t="s">
        <v>31</v>
      </c>
      <c r="F558" t="s">
        <v>188</v>
      </c>
      <c r="G558" t="s">
        <v>42</v>
      </c>
      <c r="H558" t="s">
        <v>119</v>
      </c>
      <c r="I558" s="3">
        <v>9553.6</v>
      </c>
      <c r="J558">
        <v>2</v>
      </c>
      <c r="K558" s="5">
        <v>0.2</v>
      </c>
      <c r="L558" s="3">
        <v>1650.03</v>
      </c>
      <c r="M558" t="s">
        <v>35</v>
      </c>
      <c r="N558">
        <f t="shared" si="16"/>
        <v>2025</v>
      </c>
      <c r="O558" t="str">
        <f t="shared" si="17"/>
        <v>October</v>
      </c>
    </row>
    <row r="559" spans="1:15" x14ac:dyDescent="0.2">
      <c r="A559" t="s">
        <v>668</v>
      </c>
      <c r="B559" s="7">
        <v>45716</v>
      </c>
      <c r="C559" t="s">
        <v>45</v>
      </c>
      <c r="D559" t="s">
        <v>15</v>
      </c>
      <c r="E559" t="s">
        <v>61</v>
      </c>
      <c r="F559" t="s">
        <v>62</v>
      </c>
      <c r="G559" t="s">
        <v>42</v>
      </c>
      <c r="H559" t="s">
        <v>43</v>
      </c>
      <c r="I559" s="3">
        <v>3890.7</v>
      </c>
      <c r="J559">
        <v>3</v>
      </c>
      <c r="K559" s="5">
        <v>0.1</v>
      </c>
      <c r="L559" s="3">
        <v>368.58</v>
      </c>
      <c r="M559" t="s">
        <v>40</v>
      </c>
      <c r="N559">
        <f t="shared" si="16"/>
        <v>2025</v>
      </c>
      <c r="O559" t="str">
        <f t="shared" si="17"/>
        <v>February</v>
      </c>
    </row>
    <row r="560" spans="1:15" x14ac:dyDescent="0.2">
      <c r="A560" t="s">
        <v>669</v>
      </c>
      <c r="B560" s="7">
        <v>45464</v>
      </c>
      <c r="C560" t="s">
        <v>14</v>
      </c>
      <c r="D560" t="s">
        <v>30</v>
      </c>
      <c r="E560" t="s">
        <v>122</v>
      </c>
      <c r="F560" t="s">
        <v>131</v>
      </c>
      <c r="G560" t="s">
        <v>33</v>
      </c>
      <c r="H560" t="s">
        <v>128</v>
      </c>
      <c r="I560" s="3">
        <v>14117</v>
      </c>
      <c r="J560">
        <v>4</v>
      </c>
      <c r="K560" s="5">
        <v>0.05</v>
      </c>
      <c r="L560" s="3">
        <v>1692.02</v>
      </c>
      <c r="M560" t="s">
        <v>49</v>
      </c>
      <c r="N560">
        <f t="shared" si="16"/>
        <v>2024</v>
      </c>
      <c r="O560" t="str">
        <f t="shared" si="17"/>
        <v>June</v>
      </c>
    </row>
    <row r="561" spans="1:15" x14ac:dyDescent="0.2">
      <c r="A561" t="s">
        <v>670</v>
      </c>
      <c r="B561" s="7">
        <v>45756</v>
      </c>
      <c r="C561" t="s">
        <v>29</v>
      </c>
      <c r="D561" t="s">
        <v>15</v>
      </c>
      <c r="E561" t="s">
        <v>61</v>
      </c>
      <c r="F561" t="s">
        <v>111</v>
      </c>
      <c r="G561" t="s">
        <v>42</v>
      </c>
      <c r="H561" t="s">
        <v>98</v>
      </c>
      <c r="I561" s="3">
        <v>753.6</v>
      </c>
      <c r="J561">
        <v>6</v>
      </c>
      <c r="K561" s="5">
        <v>0.2</v>
      </c>
      <c r="L561" s="3">
        <v>88.2</v>
      </c>
      <c r="M561" t="s">
        <v>20</v>
      </c>
      <c r="N561">
        <f t="shared" si="16"/>
        <v>2025</v>
      </c>
      <c r="O561" t="str">
        <f t="shared" si="17"/>
        <v>April</v>
      </c>
    </row>
    <row r="562" spans="1:15" x14ac:dyDescent="0.2">
      <c r="A562" t="s">
        <v>671</v>
      </c>
      <c r="B562" s="7">
        <v>45581</v>
      </c>
      <c r="C562" t="s">
        <v>76</v>
      </c>
      <c r="D562" t="s">
        <v>23</v>
      </c>
      <c r="E562" t="s">
        <v>24</v>
      </c>
      <c r="F562" t="s">
        <v>86</v>
      </c>
      <c r="G562" t="s">
        <v>33</v>
      </c>
      <c r="H562" t="s">
        <v>34</v>
      </c>
      <c r="I562" s="3">
        <v>199416.4</v>
      </c>
      <c r="J562">
        <v>8</v>
      </c>
      <c r="K562" s="5">
        <v>0.05</v>
      </c>
      <c r="L562" s="3">
        <v>37393.879999999997</v>
      </c>
      <c r="M562" t="s">
        <v>49</v>
      </c>
      <c r="N562">
        <f t="shared" si="16"/>
        <v>2024</v>
      </c>
      <c r="O562" t="str">
        <f t="shared" si="17"/>
        <v>October</v>
      </c>
    </row>
    <row r="563" spans="1:15" x14ac:dyDescent="0.2">
      <c r="A563" t="s">
        <v>672</v>
      </c>
      <c r="B563" s="7">
        <v>45954</v>
      </c>
      <c r="C563" t="s">
        <v>29</v>
      </c>
      <c r="D563" t="s">
        <v>23</v>
      </c>
      <c r="E563" t="s">
        <v>38</v>
      </c>
      <c r="F563" t="s">
        <v>91</v>
      </c>
      <c r="G563" t="s">
        <v>33</v>
      </c>
      <c r="H563" t="s">
        <v>128</v>
      </c>
      <c r="I563" s="3">
        <v>74844</v>
      </c>
      <c r="J563">
        <v>5</v>
      </c>
      <c r="K563" s="5">
        <v>0.1</v>
      </c>
      <c r="L563" s="3">
        <v>12841.78</v>
      </c>
      <c r="M563" t="s">
        <v>20</v>
      </c>
      <c r="N563">
        <f t="shared" si="16"/>
        <v>2025</v>
      </c>
      <c r="O563" t="str">
        <f t="shared" si="17"/>
        <v>October</v>
      </c>
    </row>
    <row r="564" spans="1:15" x14ac:dyDescent="0.2">
      <c r="A564" t="s">
        <v>673</v>
      </c>
      <c r="B564" s="7">
        <v>45554</v>
      </c>
      <c r="C564" t="s">
        <v>37</v>
      </c>
      <c r="D564" t="s">
        <v>23</v>
      </c>
      <c r="E564" t="s">
        <v>38</v>
      </c>
      <c r="F564" t="s">
        <v>39</v>
      </c>
      <c r="G564" t="s">
        <v>33</v>
      </c>
      <c r="H564" t="s">
        <v>34</v>
      </c>
      <c r="I564" s="3">
        <v>274967.34999999998</v>
      </c>
      <c r="J564">
        <v>7</v>
      </c>
      <c r="K564" s="5">
        <v>0.15</v>
      </c>
      <c r="L564" s="3">
        <v>52167.03</v>
      </c>
      <c r="M564" t="s">
        <v>20</v>
      </c>
      <c r="N564">
        <f t="shared" si="16"/>
        <v>2024</v>
      </c>
      <c r="O564" t="str">
        <f t="shared" si="17"/>
        <v>September</v>
      </c>
    </row>
    <row r="565" spans="1:15" x14ac:dyDescent="0.2">
      <c r="A565" t="s">
        <v>674</v>
      </c>
      <c r="B565" s="7">
        <v>45926</v>
      </c>
      <c r="C565" t="s">
        <v>22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 s="3">
        <v>2288</v>
      </c>
      <c r="J565">
        <v>8</v>
      </c>
      <c r="K565" s="5">
        <v>0</v>
      </c>
      <c r="L565" s="3">
        <v>299.11</v>
      </c>
      <c r="M565" t="s">
        <v>27</v>
      </c>
      <c r="N565">
        <f t="shared" si="16"/>
        <v>2025</v>
      </c>
      <c r="O565" t="str">
        <f t="shared" si="17"/>
        <v>September</v>
      </c>
    </row>
    <row r="566" spans="1:15" x14ac:dyDescent="0.2">
      <c r="A566" t="s">
        <v>675</v>
      </c>
      <c r="B566" s="7">
        <v>45771</v>
      </c>
      <c r="C566" t="s">
        <v>55</v>
      </c>
      <c r="D566" t="s">
        <v>30</v>
      </c>
      <c r="E566" t="s">
        <v>104</v>
      </c>
      <c r="F566" t="s">
        <v>170</v>
      </c>
      <c r="G566" t="s">
        <v>33</v>
      </c>
      <c r="H566" t="s">
        <v>128</v>
      </c>
      <c r="I566" s="3">
        <v>16233.3</v>
      </c>
      <c r="J566">
        <v>3</v>
      </c>
      <c r="K566" s="5">
        <v>0.15</v>
      </c>
      <c r="L566" s="3">
        <v>3710.37</v>
      </c>
      <c r="M566" t="s">
        <v>20</v>
      </c>
      <c r="N566">
        <f t="shared" si="16"/>
        <v>2025</v>
      </c>
      <c r="O566" t="str">
        <f t="shared" si="17"/>
        <v>April</v>
      </c>
    </row>
    <row r="567" spans="1:15" x14ac:dyDescent="0.2">
      <c r="A567" t="s">
        <v>676</v>
      </c>
      <c r="B567" s="7">
        <v>45579</v>
      </c>
      <c r="C567" t="s">
        <v>45</v>
      </c>
      <c r="D567" t="s">
        <v>30</v>
      </c>
      <c r="E567" t="s">
        <v>72</v>
      </c>
      <c r="F567" t="s">
        <v>207</v>
      </c>
      <c r="G567" t="s">
        <v>58</v>
      </c>
      <c r="H567" t="s">
        <v>74</v>
      </c>
      <c r="I567" s="3">
        <v>3819.9</v>
      </c>
      <c r="J567">
        <v>2</v>
      </c>
      <c r="K567" s="5">
        <v>0.15</v>
      </c>
      <c r="L567" s="3">
        <v>828.29</v>
      </c>
      <c r="M567" t="s">
        <v>49</v>
      </c>
      <c r="N567">
        <f t="shared" si="16"/>
        <v>2024</v>
      </c>
      <c r="O567" t="str">
        <f t="shared" si="17"/>
        <v>October</v>
      </c>
    </row>
    <row r="568" spans="1:15" x14ac:dyDescent="0.2">
      <c r="A568" t="s">
        <v>677</v>
      </c>
      <c r="B568" s="7">
        <v>45965</v>
      </c>
      <c r="C568" t="s">
        <v>29</v>
      </c>
      <c r="D568" t="s">
        <v>30</v>
      </c>
      <c r="E568" t="s">
        <v>104</v>
      </c>
      <c r="F568" t="s">
        <v>137</v>
      </c>
      <c r="G568" t="s">
        <v>42</v>
      </c>
      <c r="H568" t="s">
        <v>119</v>
      </c>
      <c r="I568" s="3">
        <v>40555.199999999997</v>
      </c>
      <c r="J568">
        <v>3</v>
      </c>
      <c r="K568" s="5">
        <v>0.2</v>
      </c>
      <c r="L568" s="3">
        <v>8135.65</v>
      </c>
      <c r="M568" t="s">
        <v>20</v>
      </c>
      <c r="N568">
        <f t="shared" si="16"/>
        <v>2025</v>
      </c>
      <c r="O568" t="str">
        <f t="shared" si="17"/>
        <v>November</v>
      </c>
    </row>
    <row r="569" spans="1:15" x14ac:dyDescent="0.2">
      <c r="A569" t="s">
        <v>678</v>
      </c>
      <c r="B569" s="7">
        <v>45798</v>
      </c>
      <c r="C569" t="s">
        <v>14</v>
      </c>
      <c r="D569" t="s">
        <v>23</v>
      </c>
      <c r="E569" t="s">
        <v>24</v>
      </c>
      <c r="F569" t="s">
        <v>77</v>
      </c>
      <c r="G569" t="s">
        <v>18</v>
      </c>
      <c r="H569" t="s">
        <v>26</v>
      </c>
      <c r="I569" s="3">
        <v>27215.3</v>
      </c>
      <c r="J569">
        <v>1</v>
      </c>
      <c r="K569" s="5">
        <v>0.15</v>
      </c>
      <c r="L569" s="3">
        <v>3532.16</v>
      </c>
      <c r="M569" t="s">
        <v>49</v>
      </c>
      <c r="N569">
        <f t="shared" si="16"/>
        <v>2025</v>
      </c>
      <c r="O569" t="str">
        <f t="shared" si="17"/>
        <v>May</v>
      </c>
    </row>
    <row r="570" spans="1:15" x14ac:dyDescent="0.2">
      <c r="A570" t="s">
        <v>679</v>
      </c>
      <c r="B570" s="7">
        <v>45582</v>
      </c>
      <c r="C570" t="s">
        <v>55</v>
      </c>
      <c r="D570" t="s">
        <v>30</v>
      </c>
      <c r="E570" t="s">
        <v>72</v>
      </c>
      <c r="F570" t="s">
        <v>207</v>
      </c>
      <c r="G570" t="s">
        <v>58</v>
      </c>
      <c r="H570" t="s">
        <v>59</v>
      </c>
      <c r="I570" s="3">
        <v>10171.799999999999</v>
      </c>
      <c r="J570">
        <v>2</v>
      </c>
      <c r="K570" s="5">
        <v>0.1</v>
      </c>
      <c r="L570" s="3">
        <v>749.82</v>
      </c>
      <c r="M570" t="s">
        <v>40</v>
      </c>
      <c r="N570">
        <f t="shared" si="16"/>
        <v>2024</v>
      </c>
      <c r="O570" t="str">
        <f t="shared" si="17"/>
        <v>October</v>
      </c>
    </row>
    <row r="571" spans="1:15" x14ac:dyDescent="0.2">
      <c r="A571" t="s">
        <v>680</v>
      </c>
      <c r="B571" s="7">
        <v>45802</v>
      </c>
      <c r="C571" t="s">
        <v>37</v>
      </c>
      <c r="D571" t="s">
        <v>15</v>
      </c>
      <c r="E571" t="s">
        <v>56</v>
      </c>
      <c r="F571" t="s">
        <v>100</v>
      </c>
      <c r="G571" t="s">
        <v>42</v>
      </c>
      <c r="H571" t="s">
        <v>98</v>
      </c>
      <c r="I571" s="3">
        <v>1805</v>
      </c>
      <c r="J571">
        <v>1</v>
      </c>
      <c r="K571" s="5">
        <v>0</v>
      </c>
      <c r="L571" s="3">
        <v>233.26</v>
      </c>
      <c r="M571" t="s">
        <v>27</v>
      </c>
      <c r="N571">
        <f t="shared" si="16"/>
        <v>2025</v>
      </c>
      <c r="O571" t="str">
        <f t="shared" si="17"/>
        <v>May</v>
      </c>
    </row>
    <row r="572" spans="1:15" x14ac:dyDescent="0.2">
      <c r="A572" t="s">
        <v>681</v>
      </c>
      <c r="B572" s="7">
        <v>46016</v>
      </c>
      <c r="C572" t="s">
        <v>29</v>
      </c>
      <c r="D572" t="s">
        <v>23</v>
      </c>
      <c r="E572" t="s">
        <v>79</v>
      </c>
      <c r="F572" t="s">
        <v>80</v>
      </c>
      <c r="G572" t="s">
        <v>18</v>
      </c>
      <c r="H572" t="s">
        <v>63</v>
      </c>
      <c r="I572" s="3">
        <v>112104</v>
      </c>
      <c r="J572">
        <v>2</v>
      </c>
      <c r="K572" s="5">
        <v>0</v>
      </c>
      <c r="L572" s="3">
        <v>10785.82</v>
      </c>
      <c r="M572" t="s">
        <v>49</v>
      </c>
      <c r="N572">
        <f t="shared" si="16"/>
        <v>2025</v>
      </c>
      <c r="O572" t="str">
        <f t="shared" si="17"/>
        <v>December</v>
      </c>
    </row>
    <row r="573" spans="1:15" x14ac:dyDescent="0.2">
      <c r="A573" t="s">
        <v>682</v>
      </c>
      <c r="B573" s="7">
        <v>45581</v>
      </c>
      <c r="C573" t="s">
        <v>45</v>
      </c>
      <c r="D573" t="s">
        <v>15</v>
      </c>
      <c r="E573" t="s">
        <v>65</v>
      </c>
      <c r="F573" t="s">
        <v>147</v>
      </c>
      <c r="G573" t="s">
        <v>18</v>
      </c>
      <c r="H573" t="s">
        <v>19</v>
      </c>
      <c r="I573" s="3">
        <v>7720</v>
      </c>
      <c r="J573">
        <v>8</v>
      </c>
      <c r="K573" s="5">
        <v>0</v>
      </c>
      <c r="L573" s="3">
        <v>1855.21</v>
      </c>
      <c r="M573" t="s">
        <v>20</v>
      </c>
      <c r="N573">
        <f t="shared" si="16"/>
        <v>2024</v>
      </c>
      <c r="O573" t="str">
        <f t="shared" si="17"/>
        <v>October</v>
      </c>
    </row>
    <row r="574" spans="1:15" x14ac:dyDescent="0.2">
      <c r="A574" t="s">
        <v>683</v>
      </c>
      <c r="B574" s="7">
        <v>45505</v>
      </c>
      <c r="C574" t="s">
        <v>55</v>
      </c>
      <c r="D574" t="s">
        <v>15</v>
      </c>
      <c r="E574" t="s">
        <v>16</v>
      </c>
      <c r="F574" t="s">
        <v>204</v>
      </c>
      <c r="G574" t="s">
        <v>58</v>
      </c>
      <c r="H574" t="s">
        <v>95</v>
      </c>
      <c r="I574" s="3">
        <v>8665</v>
      </c>
      <c r="J574">
        <v>5</v>
      </c>
      <c r="K574" s="5">
        <v>0</v>
      </c>
      <c r="L574" s="3">
        <v>728.75</v>
      </c>
      <c r="M574" t="s">
        <v>49</v>
      </c>
      <c r="N574">
        <f t="shared" si="16"/>
        <v>2024</v>
      </c>
      <c r="O574" t="str">
        <f t="shared" si="17"/>
        <v>August</v>
      </c>
    </row>
    <row r="575" spans="1:15" x14ac:dyDescent="0.2">
      <c r="A575" t="s">
        <v>684</v>
      </c>
      <c r="B575" s="7">
        <v>45973</v>
      </c>
      <c r="C575" t="s">
        <v>37</v>
      </c>
      <c r="D575" t="s">
        <v>30</v>
      </c>
      <c r="E575" t="s">
        <v>104</v>
      </c>
      <c r="F575" t="s">
        <v>137</v>
      </c>
      <c r="G575" t="s">
        <v>33</v>
      </c>
      <c r="H575" t="s">
        <v>128</v>
      </c>
      <c r="I575" s="3">
        <v>95788.800000000003</v>
      </c>
      <c r="J575">
        <v>8</v>
      </c>
      <c r="K575" s="5">
        <v>0.2</v>
      </c>
      <c r="L575" s="3">
        <v>5388.82</v>
      </c>
      <c r="M575" t="s">
        <v>27</v>
      </c>
      <c r="N575">
        <f t="shared" si="16"/>
        <v>2025</v>
      </c>
      <c r="O575" t="str">
        <f t="shared" si="17"/>
        <v>November</v>
      </c>
    </row>
    <row r="576" spans="1:15" x14ac:dyDescent="0.2">
      <c r="A576" t="s">
        <v>685</v>
      </c>
      <c r="B576" s="7">
        <v>45920</v>
      </c>
      <c r="C576" t="s">
        <v>55</v>
      </c>
      <c r="D576" t="s">
        <v>15</v>
      </c>
      <c r="E576" t="s">
        <v>46</v>
      </c>
      <c r="F576" t="s">
        <v>47</v>
      </c>
      <c r="G576" t="s">
        <v>58</v>
      </c>
      <c r="H576" t="s">
        <v>59</v>
      </c>
      <c r="I576" s="3">
        <v>3189.2</v>
      </c>
      <c r="J576">
        <v>8</v>
      </c>
      <c r="K576" s="5">
        <v>0.15</v>
      </c>
      <c r="L576" s="3">
        <v>652.83000000000004</v>
      </c>
      <c r="M576" t="s">
        <v>49</v>
      </c>
      <c r="N576">
        <f t="shared" si="16"/>
        <v>2025</v>
      </c>
      <c r="O576" t="str">
        <f t="shared" si="17"/>
        <v>September</v>
      </c>
    </row>
    <row r="577" spans="1:15" x14ac:dyDescent="0.2">
      <c r="A577" t="s">
        <v>686</v>
      </c>
      <c r="B577" s="7">
        <v>45831</v>
      </c>
      <c r="C577" t="s">
        <v>51</v>
      </c>
      <c r="D577" t="s">
        <v>15</v>
      </c>
      <c r="E577" t="s">
        <v>61</v>
      </c>
      <c r="F577" t="s">
        <v>144</v>
      </c>
      <c r="G577" t="s">
        <v>18</v>
      </c>
      <c r="H577" t="s">
        <v>70</v>
      </c>
      <c r="I577" s="3">
        <v>5802.6</v>
      </c>
      <c r="J577">
        <v>6</v>
      </c>
      <c r="K577" s="5">
        <v>0.05</v>
      </c>
      <c r="L577" s="3">
        <v>1471.73</v>
      </c>
      <c r="M577" t="s">
        <v>20</v>
      </c>
      <c r="N577">
        <f t="shared" si="16"/>
        <v>2025</v>
      </c>
      <c r="O577" t="str">
        <f t="shared" si="17"/>
        <v>June</v>
      </c>
    </row>
    <row r="578" spans="1:15" x14ac:dyDescent="0.2">
      <c r="A578" t="s">
        <v>687</v>
      </c>
      <c r="B578" s="7">
        <v>45594</v>
      </c>
      <c r="C578" t="s">
        <v>90</v>
      </c>
      <c r="D578" t="s">
        <v>30</v>
      </c>
      <c r="E578" t="s">
        <v>122</v>
      </c>
      <c r="F578" t="s">
        <v>160</v>
      </c>
      <c r="G578" t="s">
        <v>58</v>
      </c>
      <c r="H578" t="s">
        <v>95</v>
      </c>
      <c r="I578" s="3">
        <v>23688.25</v>
      </c>
      <c r="J578">
        <v>5</v>
      </c>
      <c r="K578" s="5">
        <v>0.05</v>
      </c>
      <c r="L578" s="3">
        <v>4077.18</v>
      </c>
      <c r="M578" t="s">
        <v>20</v>
      </c>
      <c r="N578">
        <f t="shared" ref="N578:N641" si="18">YEAR(B578)</f>
        <v>2024</v>
      </c>
      <c r="O578" t="str">
        <f t="shared" ref="O578:O641" si="19">TEXT(B578,"mmmm")</f>
        <v>October</v>
      </c>
    </row>
    <row r="579" spans="1:15" x14ac:dyDescent="0.2">
      <c r="A579" t="s">
        <v>688</v>
      </c>
      <c r="B579" s="7">
        <v>45655</v>
      </c>
      <c r="C579" t="s">
        <v>68</v>
      </c>
      <c r="D579" t="s">
        <v>15</v>
      </c>
      <c r="E579" t="s">
        <v>16</v>
      </c>
      <c r="F579" t="s">
        <v>230</v>
      </c>
      <c r="G579" t="s">
        <v>18</v>
      </c>
      <c r="H579" t="s">
        <v>70</v>
      </c>
      <c r="I579" s="3">
        <v>11216.8</v>
      </c>
      <c r="J579">
        <v>7</v>
      </c>
      <c r="K579" s="5">
        <v>0.2</v>
      </c>
      <c r="L579" s="3">
        <v>2159.96</v>
      </c>
      <c r="M579" t="s">
        <v>35</v>
      </c>
      <c r="N579">
        <f t="shared" si="18"/>
        <v>2024</v>
      </c>
      <c r="O579" t="str">
        <f t="shared" si="19"/>
        <v>December</v>
      </c>
    </row>
    <row r="580" spans="1:15" x14ac:dyDescent="0.2">
      <c r="A580" t="s">
        <v>689</v>
      </c>
      <c r="B580" s="7">
        <v>46013</v>
      </c>
      <c r="C580" t="s">
        <v>68</v>
      </c>
      <c r="D580" t="s">
        <v>23</v>
      </c>
      <c r="E580" t="s">
        <v>172</v>
      </c>
      <c r="F580" t="s">
        <v>173</v>
      </c>
      <c r="G580" t="s">
        <v>18</v>
      </c>
      <c r="H580" t="s">
        <v>70</v>
      </c>
      <c r="I580" s="3">
        <v>103736</v>
      </c>
      <c r="J580">
        <v>8</v>
      </c>
      <c r="K580" s="5">
        <v>0</v>
      </c>
      <c r="L580" s="3">
        <v>10026.93</v>
      </c>
      <c r="M580" t="s">
        <v>27</v>
      </c>
      <c r="N580">
        <f t="shared" si="18"/>
        <v>2025</v>
      </c>
      <c r="O580" t="str">
        <f t="shared" si="19"/>
        <v>December</v>
      </c>
    </row>
    <row r="581" spans="1:15" x14ac:dyDescent="0.2">
      <c r="A581" t="s">
        <v>690</v>
      </c>
      <c r="B581" s="7">
        <v>45981</v>
      </c>
      <c r="C581" t="s">
        <v>37</v>
      </c>
      <c r="D581" t="s">
        <v>15</v>
      </c>
      <c r="E581" t="s">
        <v>61</v>
      </c>
      <c r="F581" t="s">
        <v>62</v>
      </c>
      <c r="G581" t="s">
        <v>58</v>
      </c>
      <c r="H581" t="s">
        <v>84</v>
      </c>
      <c r="I581" s="3">
        <v>1008</v>
      </c>
      <c r="J581">
        <v>3</v>
      </c>
      <c r="K581" s="5">
        <v>0.2</v>
      </c>
      <c r="L581" s="3">
        <v>82.52</v>
      </c>
      <c r="M581" t="s">
        <v>49</v>
      </c>
      <c r="N581">
        <f t="shared" si="18"/>
        <v>2025</v>
      </c>
      <c r="O581" t="str">
        <f t="shared" si="19"/>
        <v>November</v>
      </c>
    </row>
    <row r="582" spans="1:15" x14ac:dyDescent="0.2">
      <c r="A582" t="s">
        <v>691</v>
      </c>
      <c r="B582" s="7">
        <v>45908</v>
      </c>
      <c r="C582" t="s">
        <v>29</v>
      </c>
      <c r="D582" t="s">
        <v>15</v>
      </c>
      <c r="E582" t="s">
        <v>16</v>
      </c>
      <c r="F582" t="s">
        <v>17</v>
      </c>
      <c r="G582" t="s">
        <v>18</v>
      </c>
      <c r="H582" t="s">
        <v>63</v>
      </c>
      <c r="I582" s="3">
        <v>1686.4</v>
      </c>
      <c r="J582">
        <v>1</v>
      </c>
      <c r="K582" s="5">
        <v>0.15</v>
      </c>
      <c r="L582" s="3">
        <v>364.69</v>
      </c>
      <c r="M582" t="s">
        <v>27</v>
      </c>
      <c r="N582">
        <f t="shared" si="18"/>
        <v>2025</v>
      </c>
      <c r="O582" t="str">
        <f t="shared" si="19"/>
        <v>September</v>
      </c>
    </row>
    <row r="583" spans="1:15" x14ac:dyDescent="0.2">
      <c r="A583" t="s">
        <v>692</v>
      </c>
      <c r="B583" s="7">
        <v>45308</v>
      </c>
      <c r="C583" t="s">
        <v>76</v>
      </c>
      <c r="D583" t="s">
        <v>15</v>
      </c>
      <c r="E583" t="s">
        <v>56</v>
      </c>
      <c r="F583" t="s">
        <v>57</v>
      </c>
      <c r="G583" t="s">
        <v>42</v>
      </c>
      <c r="H583" t="s">
        <v>43</v>
      </c>
      <c r="I583" s="3">
        <v>296.39999999999998</v>
      </c>
      <c r="J583">
        <v>2</v>
      </c>
      <c r="K583" s="5">
        <v>0.05</v>
      </c>
      <c r="L583" s="3">
        <v>26.64</v>
      </c>
      <c r="M583" t="s">
        <v>20</v>
      </c>
      <c r="N583">
        <f t="shared" si="18"/>
        <v>2024</v>
      </c>
      <c r="O583" t="str">
        <f t="shared" si="19"/>
        <v>January</v>
      </c>
    </row>
    <row r="584" spans="1:15" x14ac:dyDescent="0.2">
      <c r="A584" t="s">
        <v>693</v>
      </c>
      <c r="B584" s="7">
        <v>45314</v>
      </c>
      <c r="C584" t="s">
        <v>37</v>
      </c>
      <c r="D584" t="s">
        <v>23</v>
      </c>
      <c r="E584" t="s">
        <v>38</v>
      </c>
      <c r="F584" t="s">
        <v>91</v>
      </c>
      <c r="G584" t="s">
        <v>33</v>
      </c>
      <c r="H584" t="s">
        <v>48</v>
      </c>
      <c r="I584" s="3">
        <v>25999.599999999999</v>
      </c>
      <c r="J584">
        <v>4</v>
      </c>
      <c r="K584" s="5">
        <v>0.05</v>
      </c>
      <c r="L584" s="3">
        <v>4219.68</v>
      </c>
      <c r="M584" t="s">
        <v>40</v>
      </c>
      <c r="N584">
        <f t="shared" si="18"/>
        <v>2024</v>
      </c>
      <c r="O584" t="str">
        <f t="shared" si="19"/>
        <v>January</v>
      </c>
    </row>
    <row r="585" spans="1:15" x14ac:dyDescent="0.2">
      <c r="A585" t="s">
        <v>694</v>
      </c>
      <c r="B585" s="7">
        <v>45693</v>
      </c>
      <c r="C585" t="s">
        <v>14</v>
      </c>
      <c r="D585" t="s">
        <v>23</v>
      </c>
      <c r="E585" t="s">
        <v>38</v>
      </c>
      <c r="F585" t="s">
        <v>140</v>
      </c>
      <c r="G585" t="s">
        <v>58</v>
      </c>
      <c r="H585" t="s">
        <v>59</v>
      </c>
      <c r="I585" s="3">
        <v>284781.59999999998</v>
      </c>
      <c r="J585">
        <v>8</v>
      </c>
      <c r="K585" s="5">
        <v>0.1</v>
      </c>
      <c r="L585" s="3">
        <v>48095.65</v>
      </c>
      <c r="M585" t="s">
        <v>27</v>
      </c>
      <c r="N585">
        <f t="shared" si="18"/>
        <v>2025</v>
      </c>
      <c r="O585" t="str">
        <f t="shared" si="19"/>
        <v>February</v>
      </c>
    </row>
    <row r="586" spans="1:15" x14ac:dyDescent="0.2">
      <c r="A586" t="s">
        <v>695</v>
      </c>
      <c r="B586" s="7">
        <v>45918</v>
      </c>
      <c r="C586" t="s">
        <v>29</v>
      </c>
      <c r="D586" t="s">
        <v>23</v>
      </c>
      <c r="E586" t="s">
        <v>82</v>
      </c>
      <c r="F586" t="s">
        <v>83</v>
      </c>
      <c r="G586" t="s">
        <v>58</v>
      </c>
      <c r="H586" t="s">
        <v>59</v>
      </c>
      <c r="I586" s="3">
        <v>15406.25</v>
      </c>
      <c r="J586">
        <v>5</v>
      </c>
      <c r="K586" s="5">
        <v>0.15</v>
      </c>
      <c r="L586" s="3">
        <v>2236.54</v>
      </c>
      <c r="M586" t="s">
        <v>40</v>
      </c>
      <c r="N586">
        <f t="shared" si="18"/>
        <v>2025</v>
      </c>
      <c r="O586" t="str">
        <f t="shared" si="19"/>
        <v>September</v>
      </c>
    </row>
    <row r="587" spans="1:15" x14ac:dyDescent="0.2">
      <c r="A587" t="s">
        <v>696</v>
      </c>
      <c r="B587" s="7">
        <v>45411</v>
      </c>
      <c r="C587" t="s">
        <v>29</v>
      </c>
      <c r="D587" t="s">
        <v>15</v>
      </c>
      <c r="E587" t="s">
        <v>16</v>
      </c>
      <c r="F587" t="s">
        <v>230</v>
      </c>
      <c r="G587" t="s">
        <v>18</v>
      </c>
      <c r="H587" t="s">
        <v>63</v>
      </c>
      <c r="I587" s="3">
        <v>6104.7</v>
      </c>
      <c r="J587">
        <v>6</v>
      </c>
      <c r="K587" s="5">
        <v>0.15</v>
      </c>
      <c r="L587" s="3">
        <v>1345.04</v>
      </c>
      <c r="M587" t="s">
        <v>35</v>
      </c>
      <c r="N587">
        <f t="shared" si="18"/>
        <v>2024</v>
      </c>
      <c r="O587" t="str">
        <f t="shared" si="19"/>
        <v>April</v>
      </c>
    </row>
    <row r="588" spans="1:15" x14ac:dyDescent="0.2">
      <c r="A588" t="s">
        <v>697</v>
      </c>
      <c r="B588" s="7">
        <v>45811</v>
      </c>
      <c r="C588" t="s">
        <v>76</v>
      </c>
      <c r="D588" t="s">
        <v>15</v>
      </c>
      <c r="E588" t="s">
        <v>65</v>
      </c>
      <c r="F588" t="s">
        <v>147</v>
      </c>
      <c r="G588" t="s">
        <v>58</v>
      </c>
      <c r="H588" t="s">
        <v>59</v>
      </c>
      <c r="I588" s="3">
        <v>5459.4</v>
      </c>
      <c r="J588">
        <v>3</v>
      </c>
      <c r="K588" s="5">
        <v>0.1</v>
      </c>
      <c r="L588" s="3">
        <v>778.63</v>
      </c>
      <c r="M588" t="s">
        <v>35</v>
      </c>
      <c r="N588">
        <f t="shared" si="18"/>
        <v>2025</v>
      </c>
      <c r="O588" t="str">
        <f t="shared" si="19"/>
        <v>June</v>
      </c>
    </row>
    <row r="589" spans="1:15" x14ac:dyDescent="0.2">
      <c r="A589" t="s">
        <v>698</v>
      </c>
      <c r="B589" s="7">
        <v>45457</v>
      </c>
      <c r="C589" t="s">
        <v>90</v>
      </c>
      <c r="D589" t="s">
        <v>15</v>
      </c>
      <c r="E589" t="s">
        <v>65</v>
      </c>
      <c r="F589" t="s">
        <v>66</v>
      </c>
      <c r="G589" t="s">
        <v>58</v>
      </c>
      <c r="H589" t="s">
        <v>74</v>
      </c>
      <c r="I589" s="3">
        <v>9371.25</v>
      </c>
      <c r="J589">
        <v>7</v>
      </c>
      <c r="K589" s="5">
        <v>0.15</v>
      </c>
      <c r="L589" s="3">
        <v>1897.22</v>
      </c>
      <c r="M589" t="s">
        <v>40</v>
      </c>
      <c r="N589">
        <f t="shared" si="18"/>
        <v>2024</v>
      </c>
      <c r="O589" t="str">
        <f t="shared" si="19"/>
        <v>June</v>
      </c>
    </row>
    <row r="590" spans="1:15" x14ac:dyDescent="0.2">
      <c r="A590" t="s">
        <v>699</v>
      </c>
      <c r="B590" s="7">
        <v>45797</v>
      </c>
      <c r="C590" t="s">
        <v>68</v>
      </c>
      <c r="D590" t="s">
        <v>30</v>
      </c>
      <c r="E590" t="s">
        <v>52</v>
      </c>
      <c r="F590" t="s">
        <v>53</v>
      </c>
      <c r="G590" t="s">
        <v>58</v>
      </c>
      <c r="H590" t="s">
        <v>74</v>
      </c>
      <c r="I590" s="3">
        <v>57551.8</v>
      </c>
      <c r="J590">
        <v>4</v>
      </c>
      <c r="K590" s="5">
        <v>0.15</v>
      </c>
      <c r="L590" s="3">
        <v>13300.85</v>
      </c>
      <c r="M590" t="s">
        <v>40</v>
      </c>
      <c r="N590">
        <f t="shared" si="18"/>
        <v>2025</v>
      </c>
      <c r="O590" t="str">
        <f t="shared" si="19"/>
        <v>May</v>
      </c>
    </row>
    <row r="591" spans="1:15" x14ac:dyDescent="0.2">
      <c r="A591" t="s">
        <v>700</v>
      </c>
      <c r="B591" s="7">
        <v>45357</v>
      </c>
      <c r="C591" t="s">
        <v>45</v>
      </c>
      <c r="D591" t="s">
        <v>23</v>
      </c>
      <c r="E591" t="s">
        <v>172</v>
      </c>
      <c r="F591" t="s">
        <v>210</v>
      </c>
      <c r="G591" t="s">
        <v>18</v>
      </c>
      <c r="H591" t="s">
        <v>70</v>
      </c>
      <c r="I591" s="3">
        <v>98396</v>
      </c>
      <c r="J591">
        <v>5</v>
      </c>
      <c r="K591" s="5">
        <v>0.2</v>
      </c>
      <c r="L591" s="3">
        <v>3581.02</v>
      </c>
      <c r="M591" t="s">
        <v>49</v>
      </c>
      <c r="N591">
        <f t="shared" si="18"/>
        <v>2024</v>
      </c>
      <c r="O591" t="str">
        <f t="shared" si="19"/>
        <v>March</v>
      </c>
    </row>
    <row r="592" spans="1:15" x14ac:dyDescent="0.2">
      <c r="A592" t="s">
        <v>701</v>
      </c>
      <c r="B592" s="7">
        <v>45862</v>
      </c>
      <c r="C592" t="s">
        <v>68</v>
      </c>
      <c r="D592" t="s">
        <v>23</v>
      </c>
      <c r="E592" t="s">
        <v>172</v>
      </c>
      <c r="F592" t="s">
        <v>173</v>
      </c>
      <c r="G592" t="s">
        <v>33</v>
      </c>
      <c r="H592" t="s">
        <v>128</v>
      </c>
      <c r="I592" s="3">
        <v>119066.4</v>
      </c>
      <c r="J592">
        <v>4</v>
      </c>
      <c r="K592" s="5">
        <v>0.1</v>
      </c>
      <c r="L592" s="3">
        <v>24869.97</v>
      </c>
      <c r="M592" t="s">
        <v>40</v>
      </c>
      <c r="N592">
        <f t="shared" si="18"/>
        <v>2025</v>
      </c>
      <c r="O592" t="str">
        <f t="shared" si="19"/>
        <v>July</v>
      </c>
    </row>
    <row r="593" spans="1:15" x14ac:dyDescent="0.2">
      <c r="A593" t="s">
        <v>702</v>
      </c>
      <c r="B593" s="7">
        <v>45396</v>
      </c>
      <c r="C593" t="s">
        <v>51</v>
      </c>
      <c r="D593" t="s">
        <v>15</v>
      </c>
      <c r="E593" t="s">
        <v>56</v>
      </c>
      <c r="F593" t="s">
        <v>57</v>
      </c>
      <c r="G593" t="s">
        <v>18</v>
      </c>
      <c r="H593" t="s">
        <v>70</v>
      </c>
      <c r="I593" s="3">
        <v>3411.2</v>
      </c>
      <c r="J593">
        <v>8</v>
      </c>
      <c r="K593" s="5">
        <v>0.2</v>
      </c>
      <c r="L593" s="3">
        <v>518.27</v>
      </c>
      <c r="M593" t="s">
        <v>20</v>
      </c>
      <c r="N593">
        <f t="shared" si="18"/>
        <v>2024</v>
      </c>
      <c r="O593" t="str">
        <f t="shared" si="19"/>
        <v>April</v>
      </c>
    </row>
    <row r="594" spans="1:15" x14ac:dyDescent="0.2">
      <c r="A594" t="s">
        <v>703</v>
      </c>
      <c r="B594" s="7">
        <v>45393</v>
      </c>
      <c r="C594" t="s">
        <v>55</v>
      </c>
      <c r="D594" t="s">
        <v>15</v>
      </c>
      <c r="E594" t="s">
        <v>16</v>
      </c>
      <c r="F594" t="s">
        <v>17</v>
      </c>
      <c r="G594" t="s">
        <v>33</v>
      </c>
      <c r="H594" t="s">
        <v>128</v>
      </c>
      <c r="I594" s="3">
        <v>9158.4</v>
      </c>
      <c r="J594">
        <v>6</v>
      </c>
      <c r="K594" s="5">
        <v>0.2</v>
      </c>
      <c r="L594" s="3">
        <v>1187.6400000000001</v>
      </c>
      <c r="M594" t="s">
        <v>27</v>
      </c>
      <c r="N594">
        <f t="shared" si="18"/>
        <v>2024</v>
      </c>
      <c r="O594" t="str">
        <f t="shared" si="19"/>
        <v>April</v>
      </c>
    </row>
    <row r="595" spans="1:15" x14ac:dyDescent="0.2">
      <c r="A595" t="s">
        <v>704</v>
      </c>
      <c r="B595" s="7">
        <v>45809</v>
      </c>
      <c r="C595" t="s">
        <v>55</v>
      </c>
      <c r="D595" t="s">
        <v>30</v>
      </c>
      <c r="E595" t="s">
        <v>31</v>
      </c>
      <c r="F595" t="s">
        <v>97</v>
      </c>
      <c r="G595" t="s">
        <v>18</v>
      </c>
      <c r="H595" t="s">
        <v>26</v>
      </c>
      <c r="I595" s="3">
        <v>6039.25</v>
      </c>
      <c r="J595">
        <v>7</v>
      </c>
      <c r="K595" s="5">
        <v>0.15</v>
      </c>
      <c r="L595" s="3">
        <v>668.93</v>
      </c>
      <c r="M595" t="s">
        <v>20</v>
      </c>
      <c r="N595">
        <f t="shared" si="18"/>
        <v>2025</v>
      </c>
      <c r="O595" t="str">
        <f t="shared" si="19"/>
        <v>June</v>
      </c>
    </row>
    <row r="596" spans="1:15" x14ac:dyDescent="0.2">
      <c r="A596" t="s">
        <v>705</v>
      </c>
      <c r="B596" s="7">
        <v>45715</v>
      </c>
      <c r="C596" t="s">
        <v>22</v>
      </c>
      <c r="D596" t="s">
        <v>30</v>
      </c>
      <c r="E596" t="s">
        <v>104</v>
      </c>
      <c r="F596" t="s">
        <v>170</v>
      </c>
      <c r="G596" t="s">
        <v>58</v>
      </c>
      <c r="H596" t="s">
        <v>84</v>
      </c>
      <c r="I596" s="3">
        <v>55548.4</v>
      </c>
      <c r="J596">
        <v>4</v>
      </c>
      <c r="K596" s="5">
        <v>0.05</v>
      </c>
      <c r="L596" s="3">
        <v>12656.91</v>
      </c>
      <c r="M596" t="s">
        <v>49</v>
      </c>
      <c r="N596">
        <f t="shared" si="18"/>
        <v>2025</v>
      </c>
      <c r="O596" t="str">
        <f t="shared" si="19"/>
        <v>February</v>
      </c>
    </row>
    <row r="597" spans="1:15" x14ac:dyDescent="0.2">
      <c r="A597" t="s">
        <v>706</v>
      </c>
      <c r="B597" s="7">
        <v>45703</v>
      </c>
      <c r="C597" t="s">
        <v>55</v>
      </c>
      <c r="D597" t="s">
        <v>15</v>
      </c>
      <c r="E597" t="s">
        <v>65</v>
      </c>
      <c r="F597" t="s">
        <v>147</v>
      </c>
      <c r="G597" t="s">
        <v>18</v>
      </c>
      <c r="H597" t="s">
        <v>63</v>
      </c>
      <c r="I597" s="3">
        <v>385</v>
      </c>
      <c r="J597">
        <v>1</v>
      </c>
      <c r="K597" s="5">
        <v>0</v>
      </c>
      <c r="L597" s="3">
        <v>56.85</v>
      </c>
      <c r="M597" t="s">
        <v>49</v>
      </c>
      <c r="N597">
        <f t="shared" si="18"/>
        <v>2025</v>
      </c>
      <c r="O597" t="str">
        <f t="shared" si="19"/>
        <v>February</v>
      </c>
    </row>
    <row r="598" spans="1:15" x14ac:dyDescent="0.2">
      <c r="A598" t="s">
        <v>707</v>
      </c>
      <c r="B598" s="7">
        <v>45989</v>
      </c>
      <c r="C598" t="s">
        <v>51</v>
      </c>
      <c r="D598" t="s">
        <v>23</v>
      </c>
      <c r="E598" t="s">
        <v>38</v>
      </c>
      <c r="F598" t="s">
        <v>39</v>
      </c>
      <c r="G598" t="s">
        <v>18</v>
      </c>
      <c r="H598" t="s">
        <v>26</v>
      </c>
      <c r="I598" s="3">
        <v>36204.050000000003</v>
      </c>
      <c r="J598">
        <v>1</v>
      </c>
      <c r="K598" s="5">
        <v>0.15</v>
      </c>
      <c r="L598" s="3">
        <v>4449.5</v>
      </c>
      <c r="M598" t="s">
        <v>27</v>
      </c>
      <c r="N598">
        <f t="shared" si="18"/>
        <v>2025</v>
      </c>
      <c r="O598" t="str">
        <f t="shared" si="19"/>
        <v>November</v>
      </c>
    </row>
    <row r="599" spans="1:15" x14ac:dyDescent="0.2">
      <c r="A599" t="s">
        <v>708</v>
      </c>
      <c r="B599" s="7">
        <v>45931</v>
      </c>
      <c r="C599" t="s">
        <v>90</v>
      </c>
      <c r="D599" t="s">
        <v>15</v>
      </c>
      <c r="E599" t="s">
        <v>65</v>
      </c>
      <c r="F599" t="s">
        <v>66</v>
      </c>
      <c r="G599" t="s">
        <v>42</v>
      </c>
      <c r="H599" t="s">
        <v>102</v>
      </c>
      <c r="I599" s="3">
        <v>5491.95</v>
      </c>
      <c r="J599">
        <v>3</v>
      </c>
      <c r="K599" s="5">
        <v>0.05</v>
      </c>
      <c r="L599" s="3">
        <v>1345.62</v>
      </c>
      <c r="M599" t="s">
        <v>49</v>
      </c>
      <c r="N599">
        <f t="shared" si="18"/>
        <v>2025</v>
      </c>
      <c r="O599" t="str">
        <f t="shared" si="19"/>
        <v>October</v>
      </c>
    </row>
    <row r="600" spans="1:15" x14ac:dyDescent="0.2">
      <c r="A600" t="s">
        <v>709</v>
      </c>
      <c r="B600" s="7">
        <v>45845</v>
      </c>
      <c r="C600" t="s">
        <v>68</v>
      </c>
      <c r="D600" t="s">
        <v>15</v>
      </c>
      <c r="E600" t="s">
        <v>65</v>
      </c>
      <c r="F600" t="s">
        <v>66</v>
      </c>
      <c r="G600" t="s">
        <v>58</v>
      </c>
      <c r="H600" t="s">
        <v>74</v>
      </c>
      <c r="I600" s="3">
        <v>3224.3</v>
      </c>
      <c r="J600">
        <v>2</v>
      </c>
      <c r="K600" s="5">
        <v>0.05</v>
      </c>
      <c r="L600" s="3">
        <v>553.27</v>
      </c>
      <c r="M600" t="s">
        <v>40</v>
      </c>
      <c r="N600">
        <f t="shared" si="18"/>
        <v>2025</v>
      </c>
      <c r="O600" t="str">
        <f t="shared" si="19"/>
        <v>July</v>
      </c>
    </row>
    <row r="601" spans="1:15" x14ac:dyDescent="0.2">
      <c r="A601" t="s">
        <v>710</v>
      </c>
      <c r="B601" s="7">
        <v>45603</v>
      </c>
      <c r="C601" t="s">
        <v>22</v>
      </c>
      <c r="D601" t="s">
        <v>23</v>
      </c>
      <c r="E601" t="s">
        <v>172</v>
      </c>
      <c r="F601" t="s">
        <v>173</v>
      </c>
      <c r="G601" t="s">
        <v>42</v>
      </c>
      <c r="H601" t="s">
        <v>119</v>
      </c>
      <c r="I601" s="3">
        <v>6561.6</v>
      </c>
      <c r="J601">
        <v>3</v>
      </c>
      <c r="K601" s="5">
        <v>0.2</v>
      </c>
      <c r="L601" s="3">
        <v>536.33000000000004</v>
      </c>
      <c r="M601" t="s">
        <v>35</v>
      </c>
      <c r="N601">
        <f t="shared" si="18"/>
        <v>2024</v>
      </c>
      <c r="O601" t="str">
        <f t="shared" si="19"/>
        <v>November</v>
      </c>
    </row>
    <row r="602" spans="1:15" x14ac:dyDescent="0.2">
      <c r="A602" t="s">
        <v>711</v>
      </c>
      <c r="B602" s="7">
        <v>45297</v>
      </c>
      <c r="C602" t="s">
        <v>29</v>
      </c>
      <c r="D602" t="s">
        <v>23</v>
      </c>
      <c r="E602" t="s">
        <v>82</v>
      </c>
      <c r="F602" t="s">
        <v>240</v>
      </c>
      <c r="G602" t="s">
        <v>42</v>
      </c>
      <c r="H602" t="s">
        <v>119</v>
      </c>
      <c r="I602" s="3">
        <v>47501.4</v>
      </c>
      <c r="J602">
        <v>6</v>
      </c>
      <c r="K602" s="5">
        <v>0.15</v>
      </c>
      <c r="L602" s="3">
        <v>4849.5200000000004</v>
      </c>
      <c r="M602" t="s">
        <v>27</v>
      </c>
      <c r="N602">
        <f t="shared" si="18"/>
        <v>2024</v>
      </c>
      <c r="O602" t="str">
        <f t="shared" si="19"/>
        <v>January</v>
      </c>
    </row>
    <row r="603" spans="1:15" x14ac:dyDescent="0.2">
      <c r="A603" t="s">
        <v>712</v>
      </c>
      <c r="B603" s="7">
        <v>45399</v>
      </c>
      <c r="C603" t="s">
        <v>45</v>
      </c>
      <c r="D603" t="s">
        <v>23</v>
      </c>
      <c r="E603" t="s">
        <v>172</v>
      </c>
      <c r="F603" t="s">
        <v>210</v>
      </c>
      <c r="G603" t="s">
        <v>33</v>
      </c>
      <c r="H603" t="s">
        <v>34</v>
      </c>
      <c r="I603" s="3">
        <v>179628</v>
      </c>
      <c r="J603">
        <v>5</v>
      </c>
      <c r="K603" s="5">
        <v>0.2</v>
      </c>
      <c r="L603" s="3">
        <v>31884.41</v>
      </c>
      <c r="M603" t="s">
        <v>35</v>
      </c>
      <c r="N603">
        <f t="shared" si="18"/>
        <v>2024</v>
      </c>
      <c r="O603" t="str">
        <f t="shared" si="19"/>
        <v>April</v>
      </c>
    </row>
    <row r="604" spans="1:15" x14ac:dyDescent="0.2">
      <c r="A604" t="s">
        <v>713</v>
      </c>
      <c r="B604" s="7">
        <v>45727</v>
      </c>
      <c r="C604" t="s">
        <v>55</v>
      </c>
      <c r="D604" t="s">
        <v>15</v>
      </c>
      <c r="E604" t="s">
        <v>46</v>
      </c>
      <c r="F604" t="s">
        <v>176</v>
      </c>
      <c r="G604" t="s">
        <v>42</v>
      </c>
      <c r="H604" t="s">
        <v>43</v>
      </c>
      <c r="I604" s="3">
        <v>5361</v>
      </c>
      <c r="J604">
        <v>3</v>
      </c>
      <c r="K604" s="5">
        <v>0</v>
      </c>
      <c r="L604" s="3">
        <v>527.79</v>
      </c>
      <c r="M604" t="s">
        <v>49</v>
      </c>
      <c r="N604">
        <f t="shared" si="18"/>
        <v>2025</v>
      </c>
      <c r="O604" t="str">
        <f t="shared" si="19"/>
        <v>March</v>
      </c>
    </row>
    <row r="605" spans="1:15" x14ac:dyDescent="0.2">
      <c r="A605" t="s">
        <v>714</v>
      </c>
      <c r="B605" s="7">
        <v>45943</v>
      </c>
      <c r="C605" t="s">
        <v>22</v>
      </c>
      <c r="D605" t="s">
        <v>23</v>
      </c>
      <c r="E605" t="s">
        <v>38</v>
      </c>
      <c r="F605" t="s">
        <v>39</v>
      </c>
      <c r="G605" t="s">
        <v>18</v>
      </c>
      <c r="H605" t="s">
        <v>19</v>
      </c>
      <c r="I605" s="3">
        <v>250425</v>
      </c>
      <c r="J605">
        <v>7</v>
      </c>
      <c r="K605" s="5">
        <v>0.1</v>
      </c>
      <c r="L605" s="3">
        <v>43038.23</v>
      </c>
      <c r="M605" t="s">
        <v>49</v>
      </c>
      <c r="N605">
        <f t="shared" si="18"/>
        <v>2025</v>
      </c>
      <c r="O605" t="str">
        <f t="shared" si="19"/>
        <v>October</v>
      </c>
    </row>
    <row r="606" spans="1:15" x14ac:dyDescent="0.2">
      <c r="A606" t="s">
        <v>715</v>
      </c>
      <c r="B606" s="7">
        <v>45412</v>
      </c>
      <c r="C606" t="s">
        <v>76</v>
      </c>
      <c r="D606" t="s">
        <v>15</v>
      </c>
      <c r="E606" t="s">
        <v>61</v>
      </c>
      <c r="F606" t="s">
        <v>111</v>
      </c>
      <c r="G606" t="s">
        <v>58</v>
      </c>
      <c r="H606" t="s">
        <v>74</v>
      </c>
      <c r="I606" s="3">
        <v>1509.6</v>
      </c>
      <c r="J606">
        <v>3</v>
      </c>
      <c r="K606" s="5">
        <v>0.2</v>
      </c>
      <c r="L606" s="3">
        <v>305.93</v>
      </c>
      <c r="M606" t="s">
        <v>49</v>
      </c>
      <c r="N606">
        <f t="shared" si="18"/>
        <v>2024</v>
      </c>
      <c r="O606" t="str">
        <f t="shared" si="19"/>
        <v>April</v>
      </c>
    </row>
    <row r="607" spans="1:15" x14ac:dyDescent="0.2">
      <c r="A607" t="s">
        <v>716</v>
      </c>
      <c r="B607" s="7">
        <v>45827</v>
      </c>
      <c r="C607" t="s">
        <v>55</v>
      </c>
      <c r="D607" t="s">
        <v>30</v>
      </c>
      <c r="E607" t="s">
        <v>52</v>
      </c>
      <c r="F607" t="s">
        <v>53</v>
      </c>
      <c r="G607" t="s">
        <v>33</v>
      </c>
      <c r="H607" t="s">
        <v>34</v>
      </c>
      <c r="I607" s="3">
        <v>26656</v>
      </c>
      <c r="J607">
        <v>7</v>
      </c>
      <c r="K607" s="5">
        <v>0.2</v>
      </c>
      <c r="L607" s="3">
        <v>2343.5500000000002</v>
      </c>
      <c r="M607" t="s">
        <v>20</v>
      </c>
      <c r="N607">
        <f t="shared" si="18"/>
        <v>2025</v>
      </c>
      <c r="O607" t="str">
        <f t="shared" si="19"/>
        <v>June</v>
      </c>
    </row>
    <row r="608" spans="1:15" x14ac:dyDescent="0.2">
      <c r="A608" t="s">
        <v>717</v>
      </c>
      <c r="B608" s="7">
        <v>45604</v>
      </c>
      <c r="C608" t="s">
        <v>68</v>
      </c>
      <c r="D608" t="s">
        <v>30</v>
      </c>
      <c r="E608" t="s">
        <v>104</v>
      </c>
      <c r="F608" t="s">
        <v>137</v>
      </c>
      <c r="G608" t="s">
        <v>42</v>
      </c>
      <c r="H608" t="s">
        <v>119</v>
      </c>
      <c r="I608" s="3">
        <v>35078.400000000001</v>
      </c>
      <c r="J608">
        <v>8</v>
      </c>
      <c r="K608" s="5">
        <v>0.2</v>
      </c>
      <c r="L608" s="3">
        <v>4011.26</v>
      </c>
      <c r="M608" t="s">
        <v>40</v>
      </c>
      <c r="N608">
        <f t="shared" si="18"/>
        <v>2024</v>
      </c>
      <c r="O608" t="str">
        <f t="shared" si="19"/>
        <v>November</v>
      </c>
    </row>
    <row r="609" spans="1:15" x14ac:dyDescent="0.2">
      <c r="A609" t="s">
        <v>718</v>
      </c>
      <c r="B609" s="7">
        <v>45871</v>
      </c>
      <c r="C609" t="s">
        <v>29</v>
      </c>
      <c r="D609" t="s">
        <v>23</v>
      </c>
      <c r="E609" t="s">
        <v>38</v>
      </c>
      <c r="F609" t="s">
        <v>39</v>
      </c>
      <c r="G609" t="s">
        <v>18</v>
      </c>
      <c r="H609" t="s">
        <v>70</v>
      </c>
      <c r="I609" s="3">
        <v>28697.7</v>
      </c>
      <c r="J609">
        <v>6</v>
      </c>
      <c r="K609" s="5">
        <v>0.15</v>
      </c>
      <c r="L609" s="3">
        <v>4508.75</v>
      </c>
      <c r="M609" t="s">
        <v>27</v>
      </c>
      <c r="N609">
        <f t="shared" si="18"/>
        <v>2025</v>
      </c>
      <c r="O609" t="str">
        <f t="shared" si="19"/>
        <v>August</v>
      </c>
    </row>
    <row r="610" spans="1:15" x14ac:dyDescent="0.2">
      <c r="A610" t="s">
        <v>719</v>
      </c>
      <c r="B610" s="7">
        <v>45625</v>
      </c>
      <c r="C610" t="s">
        <v>37</v>
      </c>
      <c r="D610" t="s">
        <v>30</v>
      </c>
      <c r="E610" t="s">
        <v>122</v>
      </c>
      <c r="F610" t="s">
        <v>123</v>
      </c>
      <c r="G610" t="s">
        <v>33</v>
      </c>
      <c r="H610" t="s">
        <v>48</v>
      </c>
      <c r="I610" s="3">
        <v>118126.8</v>
      </c>
      <c r="J610">
        <v>8</v>
      </c>
      <c r="K610" s="5">
        <v>0.05</v>
      </c>
      <c r="L610" s="3">
        <v>28441.279999999999</v>
      </c>
      <c r="M610" t="s">
        <v>35</v>
      </c>
      <c r="N610">
        <f t="shared" si="18"/>
        <v>2024</v>
      </c>
      <c r="O610" t="str">
        <f t="shared" si="19"/>
        <v>November</v>
      </c>
    </row>
    <row r="611" spans="1:15" x14ac:dyDescent="0.2">
      <c r="A611" t="s">
        <v>720</v>
      </c>
      <c r="B611" s="7">
        <v>45461</v>
      </c>
      <c r="C611" t="s">
        <v>14</v>
      </c>
      <c r="D611" t="s">
        <v>15</v>
      </c>
      <c r="E611" t="s">
        <v>56</v>
      </c>
      <c r="F611" t="s">
        <v>88</v>
      </c>
      <c r="G611" t="s">
        <v>58</v>
      </c>
      <c r="H611" t="s">
        <v>59</v>
      </c>
      <c r="I611" s="3">
        <v>12058.2</v>
      </c>
      <c r="J611">
        <v>7</v>
      </c>
      <c r="K611" s="5">
        <v>0.1</v>
      </c>
      <c r="L611" s="3">
        <v>2220.92</v>
      </c>
      <c r="M611" t="s">
        <v>35</v>
      </c>
      <c r="N611">
        <f t="shared" si="18"/>
        <v>2024</v>
      </c>
      <c r="O611" t="str">
        <f t="shared" si="19"/>
        <v>June</v>
      </c>
    </row>
    <row r="612" spans="1:15" x14ac:dyDescent="0.2">
      <c r="A612" t="s">
        <v>721</v>
      </c>
      <c r="B612" s="7">
        <v>45311</v>
      </c>
      <c r="C612" t="s">
        <v>37</v>
      </c>
      <c r="D612" t="s">
        <v>15</v>
      </c>
      <c r="E612" t="s">
        <v>65</v>
      </c>
      <c r="F612" t="s">
        <v>147</v>
      </c>
      <c r="G612" t="s">
        <v>18</v>
      </c>
      <c r="H612" t="s">
        <v>70</v>
      </c>
      <c r="I612" s="3">
        <v>743.75</v>
      </c>
      <c r="J612">
        <v>1</v>
      </c>
      <c r="K612" s="5">
        <v>0.15</v>
      </c>
      <c r="L612" s="3">
        <v>106.38</v>
      </c>
      <c r="M612" t="s">
        <v>35</v>
      </c>
      <c r="N612">
        <f t="shared" si="18"/>
        <v>2024</v>
      </c>
      <c r="O612" t="str">
        <f t="shared" si="19"/>
        <v>January</v>
      </c>
    </row>
    <row r="613" spans="1:15" x14ac:dyDescent="0.2">
      <c r="A613" t="s">
        <v>722</v>
      </c>
      <c r="B613" s="7">
        <v>45315</v>
      </c>
      <c r="C613" t="s">
        <v>45</v>
      </c>
      <c r="D613" t="s">
        <v>23</v>
      </c>
      <c r="E613" t="s">
        <v>82</v>
      </c>
      <c r="F613" t="s">
        <v>265</v>
      </c>
      <c r="G613" t="s">
        <v>42</v>
      </c>
      <c r="H613" t="s">
        <v>98</v>
      </c>
      <c r="I613" s="3">
        <v>43180.800000000003</v>
      </c>
      <c r="J613">
        <v>8</v>
      </c>
      <c r="K613" s="5">
        <v>0.2</v>
      </c>
      <c r="L613" s="3">
        <v>1683.91</v>
      </c>
      <c r="M613" t="s">
        <v>49</v>
      </c>
      <c r="N613">
        <f t="shared" si="18"/>
        <v>2024</v>
      </c>
      <c r="O613" t="str">
        <f t="shared" si="19"/>
        <v>January</v>
      </c>
    </row>
    <row r="614" spans="1:15" x14ac:dyDescent="0.2">
      <c r="A614" t="s">
        <v>723</v>
      </c>
      <c r="B614" s="7">
        <v>45439</v>
      </c>
      <c r="C614" t="s">
        <v>55</v>
      </c>
      <c r="D614" t="s">
        <v>23</v>
      </c>
      <c r="E614" t="s">
        <v>38</v>
      </c>
      <c r="F614" t="s">
        <v>91</v>
      </c>
      <c r="G614" t="s">
        <v>18</v>
      </c>
      <c r="H614" t="s">
        <v>19</v>
      </c>
      <c r="I614" s="3">
        <v>28660</v>
      </c>
      <c r="J614">
        <v>5</v>
      </c>
      <c r="K614" s="5">
        <v>0.2</v>
      </c>
      <c r="L614" s="3">
        <v>1823.67</v>
      </c>
      <c r="M614" t="s">
        <v>27</v>
      </c>
      <c r="N614">
        <f t="shared" si="18"/>
        <v>2024</v>
      </c>
      <c r="O614" t="str">
        <f t="shared" si="19"/>
        <v>May</v>
      </c>
    </row>
    <row r="615" spans="1:15" x14ac:dyDescent="0.2">
      <c r="A615" t="s">
        <v>724</v>
      </c>
      <c r="B615" s="7">
        <v>45597</v>
      </c>
      <c r="C615" t="s">
        <v>22</v>
      </c>
      <c r="D615" t="s">
        <v>23</v>
      </c>
      <c r="E615" t="s">
        <v>24</v>
      </c>
      <c r="F615" t="s">
        <v>25</v>
      </c>
      <c r="G615" t="s">
        <v>42</v>
      </c>
      <c r="H615" t="s">
        <v>43</v>
      </c>
      <c r="I615" s="3">
        <v>15180</v>
      </c>
      <c r="J615">
        <v>3</v>
      </c>
      <c r="K615" s="5">
        <v>0</v>
      </c>
      <c r="L615" s="3">
        <v>3379.98</v>
      </c>
      <c r="M615" t="s">
        <v>20</v>
      </c>
      <c r="N615">
        <f t="shared" si="18"/>
        <v>2024</v>
      </c>
      <c r="O615" t="str">
        <f t="shared" si="19"/>
        <v>November</v>
      </c>
    </row>
    <row r="616" spans="1:15" x14ac:dyDescent="0.2">
      <c r="A616" t="s">
        <v>725</v>
      </c>
      <c r="B616" s="7">
        <v>45903</v>
      </c>
      <c r="C616" t="s">
        <v>90</v>
      </c>
      <c r="D616" t="s">
        <v>30</v>
      </c>
      <c r="E616" t="s">
        <v>31</v>
      </c>
      <c r="F616" t="s">
        <v>97</v>
      </c>
      <c r="G616" t="s">
        <v>58</v>
      </c>
      <c r="H616" t="s">
        <v>84</v>
      </c>
      <c r="I616" s="3">
        <v>31673.95</v>
      </c>
      <c r="J616">
        <v>7</v>
      </c>
      <c r="K616" s="5">
        <v>0.05</v>
      </c>
      <c r="L616" s="3">
        <v>3655.95</v>
      </c>
      <c r="M616" t="s">
        <v>40</v>
      </c>
      <c r="N616">
        <f t="shared" si="18"/>
        <v>2025</v>
      </c>
      <c r="O616" t="str">
        <f t="shared" si="19"/>
        <v>September</v>
      </c>
    </row>
    <row r="617" spans="1:15" x14ac:dyDescent="0.2">
      <c r="A617" t="s">
        <v>726</v>
      </c>
      <c r="B617" s="7">
        <v>45321</v>
      </c>
      <c r="C617" t="s">
        <v>22</v>
      </c>
      <c r="D617" t="s">
        <v>30</v>
      </c>
      <c r="E617" t="s">
        <v>72</v>
      </c>
      <c r="F617" t="s">
        <v>207</v>
      </c>
      <c r="G617" t="s">
        <v>58</v>
      </c>
      <c r="H617" t="s">
        <v>95</v>
      </c>
      <c r="I617" s="3">
        <v>13626.35</v>
      </c>
      <c r="J617">
        <v>1</v>
      </c>
      <c r="K617" s="5">
        <v>0.15</v>
      </c>
      <c r="L617" s="3">
        <v>757.51</v>
      </c>
      <c r="M617" t="s">
        <v>40</v>
      </c>
      <c r="N617">
        <f t="shared" si="18"/>
        <v>2024</v>
      </c>
      <c r="O617" t="str">
        <f t="shared" si="19"/>
        <v>January</v>
      </c>
    </row>
    <row r="618" spans="1:15" x14ac:dyDescent="0.2">
      <c r="A618" t="s">
        <v>727</v>
      </c>
      <c r="B618" s="7">
        <v>45804</v>
      </c>
      <c r="C618" t="s">
        <v>76</v>
      </c>
      <c r="D618" t="s">
        <v>23</v>
      </c>
      <c r="E618" t="s">
        <v>79</v>
      </c>
      <c r="F618" t="s">
        <v>93</v>
      </c>
      <c r="G618" t="s">
        <v>18</v>
      </c>
      <c r="H618" t="s">
        <v>26</v>
      </c>
      <c r="I618" s="3">
        <v>63489</v>
      </c>
      <c r="J618">
        <v>3</v>
      </c>
      <c r="K618" s="5">
        <v>0</v>
      </c>
      <c r="L618" s="3">
        <v>15824.99</v>
      </c>
      <c r="M618" t="s">
        <v>40</v>
      </c>
      <c r="N618">
        <f t="shared" si="18"/>
        <v>2025</v>
      </c>
      <c r="O618" t="str">
        <f t="shared" si="19"/>
        <v>May</v>
      </c>
    </row>
    <row r="619" spans="1:15" x14ac:dyDescent="0.2">
      <c r="A619" t="s">
        <v>728</v>
      </c>
      <c r="B619" s="7">
        <v>45927</v>
      </c>
      <c r="C619" t="s">
        <v>68</v>
      </c>
      <c r="D619" t="s">
        <v>30</v>
      </c>
      <c r="E619" t="s">
        <v>72</v>
      </c>
      <c r="F619" t="s">
        <v>73</v>
      </c>
      <c r="G619" t="s">
        <v>33</v>
      </c>
      <c r="H619" t="s">
        <v>48</v>
      </c>
      <c r="I619" s="3">
        <v>109214</v>
      </c>
      <c r="J619">
        <v>7</v>
      </c>
      <c r="K619" s="5">
        <v>0</v>
      </c>
      <c r="L619" s="3">
        <v>26487.53</v>
      </c>
      <c r="M619" t="s">
        <v>40</v>
      </c>
      <c r="N619">
        <f t="shared" si="18"/>
        <v>2025</v>
      </c>
      <c r="O619" t="str">
        <f t="shared" si="19"/>
        <v>September</v>
      </c>
    </row>
    <row r="620" spans="1:15" x14ac:dyDescent="0.2">
      <c r="A620" t="s">
        <v>729</v>
      </c>
      <c r="B620" s="7">
        <v>45814</v>
      </c>
      <c r="C620" t="s">
        <v>68</v>
      </c>
      <c r="D620" t="s">
        <v>23</v>
      </c>
      <c r="E620" t="s">
        <v>82</v>
      </c>
      <c r="F620" t="s">
        <v>240</v>
      </c>
      <c r="G620" t="s">
        <v>58</v>
      </c>
      <c r="H620" t="s">
        <v>84</v>
      </c>
      <c r="I620" s="3">
        <v>267026</v>
      </c>
      <c r="J620">
        <v>5</v>
      </c>
      <c r="K620" s="5">
        <v>0.05</v>
      </c>
      <c r="L620" s="3">
        <v>49274.8</v>
      </c>
      <c r="M620" t="s">
        <v>20</v>
      </c>
      <c r="N620">
        <f t="shared" si="18"/>
        <v>2025</v>
      </c>
      <c r="O620" t="str">
        <f t="shared" si="19"/>
        <v>June</v>
      </c>
    </row>
    <row r="621" spans="1:15" x14ac:dyDescent="0.2">
      <c r="A621" t="s">
        <v>730</v>
      </c>
      <c r="B621" s="7">
        <v>45734</v>
      </c>
      <c r="C621" t="s">
        <v>76</v>
      </c>
      <c r="D621" t="s">
        <v>23</v>
      </c>
      <c r="E621" t="s">
        <v>172</v>
      </c>
      <c r="F621" t="s">
        <v>182</v>
      </c>
      <c r="G621" t="s">
        <v>18</v>
      </c>
      <c r="H621" t="s">
        <v>19</v>
      </c>
      <c r="I621" s="3">
        <v>263043.20000000001</v>
      </c>
      <c r="J621">
        <v>7</v>
      </c>
      <c r="K621" s="5">
        <v>0.2</v>
      </c>
      <c r="L621" s="3">
        <v>60437.919999999998</v>
      </c>
      <c r="M621" t="s">
        <v>35</v>
      </c>
      <c r="N621">
        <f t="shared" si="18"/>
        <v>2025</v>
      </c>
      <c r="O621" t="str">
        <f t="shared" si="19"/>
        <v>March</v>
      </c>
    </row>
    <row r="622" spans="1:15" x14ac:dyDescent="0.2">
      <c r="A622" t="s">
        <v>731</v>
      </c>
      <c r="B622" s="7">
        <v>45905</v>
      </c>
      <c r="C622" t="s">
        <v>45</v>
      </c>
      <c r="D622" t="s">
        <v>15</v>
      </c>
      <c r="E622" t="s">
        <v>65</v>
      </c>
      <c r="F622" t="s">
        <v>222</v>
      </c>
      <c r="G622" t="s">
        <v>42</v>
      </c>
      <c r="H622" t="s">
        <v>119</v>
      </c>
      <c r="I622" s="3">
        <v>10202.4</v>
      </c>
      <c r="J622">
        <v>8</v>
      </c>
      <c r="K622" s="5">
        <v>0.1</v>
      </c>
      <c r="L622" s="3">
        <v>990.91</v>
      </c>
      <c r="M622" t="s">
        <v>20</v>
      </c>
      <c r="N622">
        <f t="shared" si="18"/>
        <v>2025</v>
      </c>
      <c r="O622" t="str">
        <f t="shared" si="19"/>
        <v>September</v>
      </c>
    </row>
    <row r="623" spans="1:15" x14ac:dyDescent="0.2">
      <c r="A623" t="s">
        <v>732</v>
      </c>
      <c r="B623" s="7">
        <v>46012</v>
      </c>
      <c r="C623" t="s">
        <v>29</v>
      </c>
      <c r="D623" t="s">
        <v>15</v>
      </c>
      <c r="E623" t="s">
        <v>46</v>
      </c>
      <c r="F623" t="s">
        <v>176</v>
      </c>
      <c r="G623" t="s">
        <v>18</v>
      </c>
      <c r="H623" t="s">
        <v>63</v>
      </c>
      <c r="I623" s="3">
        <v>1433.6</v>
      </c>
      <c r="J623">
        <v>1</v>
      </c>
      <c r="K623" s="5">
        <v>0.2</v>
      </c>
      <c r="L623" s="3">
        <v>299.7</v>
      </c>
      <c r="M623" t="s">
        <v>49</v>
      </c>
      <c r="N623">
        <f t="shared" si="18"/>
        <v>2025</v>
      </c>
      <c r="O623" t="str">
        <f t="shared" si="19"/>
        <v>December</v>
      </c>
    </row>
    <row r="624" spans="1:15" x14ac:dyDescent="0.2">
      <c r="A624" t="s">
        <v>733</v>
      </c>
      <c r="B624" s="7">
        <v>45658</v>
      </c>
      <c r="C624" t="s">
        <v>22</v>
      </c>
      <c r="D624" t="s">
        <v>15</v>
      </c>
      <c r="E624" t="s">
        <v>16</v>
      </c>
      <c r="F624" t="s">
        <v>230</v>
      </c>
      <c r="G624" t="s">
        <v>18</v>
      </c>
      <c r="H624" t="s">
        <v>70</v>
      </c>
      <c r="I624" s="3">
        <v>10506</v>
      </c>
      <c r="J624">
        <v>8</v>
      </c>
      <c r="K624" s="5">
        <v>0.15</v>
      </c>
      <c r="L624" s="3">
        <v>2185.1799999999998</v>
      </c>
      <c r="M624" t="s">
        <v>40</v>
      </c>
      <c r="N624">
        <f t="shared" si="18"/>
        <v>2025</v>
      </c>
      <c r="O624" t="str">
        <f t="shared" si="19"/>
        <v>January</v>
      </c>
    </row>
    <row r="625" spans="1:15" x14ac:dyDescent="0.2">
      <c r="A625" t="s">
        <v>734</v>
      </c>
      <c r="B625" s="7">
        <v>45988</v>
      </c>
      <c r="C625" t="s">
        <v>45</v>
      </c>
      <c r="D625" t="s">
        <v>15</v>
      </c>
      <c r="E625" t="s">
        <v>16</v>
      </c>
      <c r="F625" t="s">
        <v>204</v>
      </c>
      <c r="G625" t="s">
        <v>18</v>
      </c>
      <c r="H625" t="s">
        <v>63</v>
      </c>
      <c r="I625" s="3">
        <v>4028</v>
      </c>
      <c r="J625">
        <v>4</v>
      </c>
      <c r="K625" s="5">
        <v>0</v>
      </c>
      <c r="L625" s="3">
        <v>933.22</v>
      </c>
      <c r="M625" t="s">
        <v>40</v>
      </c>
      <c r="N625">
        <f t="shared" si="18"/>
        <v>2025</v>
      </c>
      <c r="O625" t="str">
        <f t="shared" si="19"/>
        <v>November</v>
      </c>
    </row>
    <row r="626" spans="1:15" x14ac:dyDescent="0.2">
      <c r="A626" t="s">
        <v>735</v>
      </c>
      <c r="B626" s="7">
        <v>46012</v>
      </c>
      <c r="C626" t="s">
        <v>90</v>
      </c>
      <c r="D626" t="s">
        <v>23</v>
      </c>
      <c r="E626" t="s">
        <v>172</v>
      </c>
      <c r="F626" t="s">
        <v>182</v>
      </c>
      <c r="G626" t="s">
        <v>42</v>
      </c>
      <c r="H626" t="s">
        <v>98</v>
      </c>
      <c r="I626" s="3">
        <v>465062.40000000002</v>
      </c>
      <c r="J626">
        <v>8</v>
      </c>
      <c r="K626" s="5">
        <v>0.1</v>
      </c>
      <c r="L626" s="3">
        <v>71418.509999999995</v>
      </c>
      <c r="M626" t="s">
        <v>40</v>
      </c>
      <c r="N626">
        <f t="shared" si="18"/>
        <v>2025</v>
      </c>
      <c r="O626" t="str">
        <f t="shared" si="19"/>
        <v>December</v>
      </c>
    </row>
    <row r="627" spans="1:15" x14ac:dyDescent="0.2">
      <c r="A627" t="s">
        <v>736</v>
      </c>
      <c r="B627" s="7">
        <v>45358</v>
      </c>
      <c r="C627" t="s">
        <v>90</v>
      </c>
      <c r="D627" t="s">
        <v>23</v>
      </c>
      <c r="E627" t="s">
        <v>24</v>
      </c>
      <c r="F627" t="s">
        <v>86</v>
      </c>
      <c r="G627" t="s">
        <v>58</v>
      </c>
      <c r="H627" t="s">
        <v>95</v>
      </c>
      <c r="I627" s="3">
        <v>79180.800000000003</v>
      </c>
      <c r="J627">
        <v>8</v>
      </c>
      <c r="K627" s="5">
        <v>0.2</v>
      </c>
      <c r="L627" s="3">
        <v>11325.08</v>
      </c>
      <c r="M627" t="s">
        <v>40</v>
      </c>
      <c r="N627">
        <f t="shared" si="18"/>
        <v>2024</v>
      </c>
      <c r="O627" t="str">
        <f t="shared" si="19"/>
        <v>March</v>
      </c>
    </row>
    <row r="628" spans="1:15" x14ac:dyDescent="0.2">
      <c r="A628" t="s">
        <v>737</v>
      </c>
      <c r="B628" s="7">
        <v>45315</v>
      </c>
      <c r="C628" t="s">
        <v>51</v>
      </c>
      <c r="D628" t="s">
        <v>15</v>
      </c>
      <c r="E628" t="s">
        <v>16</v>
      </c>
      <c r="F628" t="s">
        <v>230</v>
      </c>
      <c r="G628" t="s">
        <v>33</v>
      </c>
      <c r="H628" t="s">
        <v>34</v>
      </c>
      <c r="I628" s="3">
        <v>4647.3999999999996</v>
      </c>
      <c r="J628">
        <v>4</v>
      </c>
      <c r="K628" s="5">
        <v>0.05</v>
      </c>
      <c r="L628" s="3">
        <v>1101.5899999999999</v>
      </c>
      <c r="M628" t="s">
        <v>35</v>
      </c>
      <c r="N628">
        <f t="shared" si="18"/>
        <v>2024</v>
      </c>
      <c r="O628" t="str">
        <f t="shared" si="19"/>
        <v>January</v>
      </c>
    </row>
    <row r="629" spans="1:15" x14ac:dyDescent="0.2">
      <c r="A629" t="s">
        <v>738</v>
      </c>
      <c r="B629" s="7">
        <v>45988</v>
      </c>
      <c r="C629" t="s">
        <v>51</v>
      </c>
      <c r="D629" t="s">
        <v>30</v>
      </c>
      <c r="E629" t="s">
        <v>72</v>
      </c>
      <c r="F629" t="s">
        <v>207</v>
      </c>
      <c r="G629" t="s">
        <v>58</v>
      </c>
      <c r="H629" t="s">
        <v>95</v>
      </c>
      <c r="I629" s="3">
        <v>9676.4</v>
      </c>
      <c r="J629">
        <v>1</v>
      </c>
      <c r="K629" s="5">
        <v>0.15</v>
      </c>
      <c r="L629" s="3">
        <v>941.58</v>
      </c>
      <c r="M629" t="s">
        <v>49</v>
      </c>
      <c r="N629">
        <f t="shared" si="18"/>
        <v>2025</v>
      </c>
      <c r="O629" t="str">
        <f t="shared" si="19"/>
        <v>November</v>
      </c>
    </row>
    <row r="630" spans="1:15" x14ac:dyDescent="0.2">
      <c r="A630" t="s">
        <v>739</v>
      </c>
      <c r="B630" s="7">
        <v>45693</v>
      </c>
      <c r="C630" t="s">
        <v>76</v>
      </c>
      <c r="D630" t="s">
        <v>30</v>
      </c>
      <c r="E630" t="s">
        <v>104</v>
      </c>
      <c r="F630" t="s">
        <v>105</v>
      </c>
      <c r="G630" t="s">
        <v>18</v>
      </c>
      <c r="H630" t="s">
        <v>26</v>
      </c>
      <c r="I630" s="3">
        <v>61897</v>
      </c>
      <c r="J630">
        <v>5</v>
      </c>
      <c r="K630" s="5">
        <v>0.15</v>
      </c>
      <c r="L630" s="3">
        <v>6545.51</v>
      </c>
      <c r="M630" t="s">
        <v>27</v>
      </c>
      <c r="N630">
        <f t="shared" si="18"/>
        <v>2025</v>
      </c>
      <c r="O630" t="str">
        <f t="shared" si="19"/>
        <v>February</v>
      </c>
    </row>
    <row r="631" spans="1:15" x14ac:dyDescent="0.2">
      <c r="A631" t="s">
        <v>740</v>
      </c>
      <c r="B631" s="7">
        <v>45610</v>
      </c>
      <c r="C631" t="s">
        <v>37</v>
      </c>
      <c r="D631" t="s">
        <v>23</v>
      </c>
      <c r="E631" t="s">
        <v>172</v>
      </c>
      <c r="F631" t="s">
        <v>173</v>
      </c>
      <c r="G631" t="s">
        <v>18</v>
      </c>
      <c r="H631" t="s">
        <v>26</v>
      </c>
      <c r="I631" s="3">
        <v>425387.2</v>
      </c>
      <c r="J631">
        <v>7</v>
      </c>
      <c r="K631" s="5">
        <v>0.05</v>
      </c>
      <c r="L631" s="3">
        <v>42707.31</v>
      </c>
      <c r="M631" t="s">
        <v>20</v>
      </c>
      <c r="N631">
        <f t="shared" si="18"/>
        <v>2024</v>
      </c>
      <c r="O631" t="str">
        <f t="shared" si="19"/>
        <v>November</v>
      </c>
    </row>
    <row r="632" spans="1:15" x14ac:dyDescent="0.2">
      <c r="A632" t="s">
        <v>741</v>
      </c>
      <c r="B632" s="7">
        <v>45640</v>
      </c>
      <c r="C632" t="s">
        <v>14</v>
      </c>
      <c r="D632" t="s">
        <v>23</v>
      </c>
      <c r="E632" t="s">
        <v>38</v>
      </c>
      <c r="F632" t="s">
        <v>39</v>
      </c>
      <c r="G632" t="s">
        <v>58</v>
      </c>
      <c r="H632" t="s">
        <v>95</v>
      </c>
      <c r="I632" s="3">
        <v>337698</v>
      </c>
      <c r="J632">
        <v>6</v>
      </c>
      <c r="K632" s="5">
        <v>0</v>
      </c>
      <c r="L632" s="3">
        <v>59001.01</v>
      </c>
      <c r="M632" t="s">
        <v>27</v>
      </c>
      <c r="N632">
        <f t="shared" si="18"/>
        <v>2024</v>
      </c>
      <c r="O632" t="str">
        <f t="shared" si="19"/>
        <v>December</v>
      </c>
    </row>
    <row r="633" spans="1:15" x14ac:dyDescent="0.2">
      <c r="A633" t="s">
        <v>742</v>
      </c>
      <c r="B633" s="7">
        <v>45678</v>
      </c>
      <c r="C633" t="s">
        <v>45</v>
      </c>
      <c r="D633" t="s">
        <v>15</v>
      </c>
      <c r="E633" t="s">
        <v>46</v>
      </c>
      <c r="F633" t="s">
        <v>176</v>
      </c>
      <c r="G633" t="s">
        <v>18</v>
      </c>
      <c r="H633" t="s">
        <v>63</v>
      </c>
      <c r="I633" s="3">
        <v>3600</v>
      </c>
      <c r="J633">
        <v>8</v>
      </c>
      <c r="K633" s="5">
        <v>0</v>
      </c>
      <c r="L633" s="3">
        <v>948.03</v>
      </c>
      <c r="M633" t="s">
        <v>20</v>
      </c>
      <c r="N633">
        <f t="shared" si="18"/>
        <v>2025</v>
      </c>
      <c r="O633" t="str">
        <f t="shared" si="19"/>
        <v>January</v>
      </c>
    </row>
    <row r="634" spans="1:15" x14ac:dyDescent="0.2">
      <c r="A634" t="s">
        <v>743</v>
      </c>
      <c r="B634" s="7">
        <v>45682</v>
      </c>
      <c r="C634" t="s">
        <v>22</v>
      </c>
      <c r="D634" t="s">
        <v>23</v>
      </c>
      <c r="E634" t="s">
        <v>82</v>
      </c>
      <c r="F634" t="s">
        <v>83</v>
      </c>
      <c r="G634" t="s">
        <v>58</v>
      </c>
      <c r="H634" t="s">
        <v>95</v>
      </c>
      <c r="I634" s="3">
        <v>30861.599999999999</v>
      </c>
      <c r="J634">
        <v>7</v>
      </c>
      <c r="K634" s="5">
        <v>0.2</v>
      </c>
      <c r="L634" s="3">
        <v>1248.06</v>
      </c>
      <c r="M634" t="s">
        <v>20</v>
      </c>
      <c r="N634">
        <f t="shared" si="18"/>
        <v>2025</v>
      </c>
      <c r="O634" t="str">
        <f t="shared" si="19"/>
        <v>January</v>
      </c>
    </row>
    <row r="635" spans="1:15" x14ac:dyDescent="0.2">
      <c r="A635" t="s">
        <v>744</v>
      </c>
      <c r="B635" s="7">
        <v>45983</v>
      </c>
      <c r="C635" t="s">
        <v>14</v>
      </c>
      <c r="D635" t="s">
        <v>15</v>
      </c>
      <c r="E635" t="s">
        <v>61</v>
      </c>
      <c r="F635" t="s">
        <v>62</v>
      </c>
      <c r="G635" t="s">
        <v>33</v>
      </c>
      <c r="H635" t="s">
        <v>128</v>
      </c>
      <c r="I635" s="3">
        <v>3238.2</v>
      </c>
      <c r="J635">
        <v>7</v>
      </c>
      <c r="K635" s="5">
        <v>0.1</v>
      </c>
      <c r="L635" s="3">
        <v>599.66</v>
      </c>
      <c r="M635" t="s">
        <v>49</v>
      </c>
      <c r="N635">
        <f t="shared" si="18"/>
        <v>2025</v>
      </c>
      <c r="O635" t="str">
        <f t="shared" si="19"/>
        <v>November</v>
      </c>
    </row>
    <row r="636" spans="1:15" x14ac:dyDescent="0.2">
      <c r="A636" t="s">
        <v>745</v>
      </c>
      <c r="B636" s="7">
        <v>45813</v>
      </c>
      <c r="C636" t="s">
        <v>68</v>
      </c>
      <c r="D636" t="s">
        <v>15</v>
      </c>
      <c r="E636" t="s">
        <v>65</v>
      </c>
      <c r="F636" t="s">
        <v>147</v>
      </c>
      <c r="G636" t="s">
        <v>33</v>
      </c>
      <c r="H636" t="s">
        <v>128</v>
      </c>
      <c r="I636" s="3">
        <v>714.4</v>
      </c>
      <c r="J636">
        <v>1</v>
      </c>
      <c r="K636" s="5">
        <v>0.2</v>
      </c>
      <c r="L636" s="3">
        <v>39.43</v>
      </c>
      <c r="M636" t="s">
        <v>27</v>
      </c>
      <c r="N636">
        <f t="shared" si="18"/>
        <v>2025</v>
      </c>
      <c r="O636" t="str">
        <f t="shared" si="19"/>
        <v>June</v>
      </c>
    </row>
    <row r="637" spans="1:15" x14ac:dyDescent="0.2">
      <c r="A637" t="s">
        <v>746</v>
      </c>
      <c r="B637" s="7">
        <v>45738</v>
      </c>
      <c r="C637" t="s">
        <v>51</v>
      </c>
      <c r="D637" t="s">
        <v>30</v>
      </c>
      <c r="E637" t="s">
        <v>122</v>
      </c>
      <c r="F637" t="s">
        <v>131</v>
      </c>
      <c r="G637" t="s">
        <v>58</v>
      </c>
      <c r="H637" t="s">
        <v>74</v>
      </c>
      <c r="I637" s="3">
        <v>6395.4</v>
      </c>
      <c r="J637">
        <v>3</v>
      </c>
      <c r="K637" s="5">
        <v>0.05</v>
      </c>
      <c r="L637" s="3">
        <v>830.34</v>
      </c>
      <c r="M637" t="s">
        <v>27</v>
      </c>
      <c r="N637">
        <f t="shared" si="18"/>
        <v>2025</v>
      </c>
      <c r="O637" t="str">
        <f t="shared" si="19"/>
        <v>March</v>
      </c>
    </row>
    <row r="638" spans="1:15" x14ac:dyDescent="0.2">
      <c r="A638" t="s">
        <v>747</v>
      </c>
      <c r="B638" s="7">
        <v>45822</v>
      </c>
      <c r="C638" t="s">
        <v>90</v>
      </c>
      <c r="D638" t="s">
        <v>30</v>
      </c>
      <c r="E638" t="s">
        <v>72</v>
      </c>
      <c r="F638" t="s">
        <v>207</v>
      </c>
      <c r="G638" t="s">
        <v>33</v>
      </c>
      <c r="H638" t="s">
        <v>48</v>
      </c>
      <c r="I638" s="3">
        <v>54162</v>
      </c>
      <c r="J638">
        <v>5</v>
      </c>
      <c r="K638" s="5">
        <v>0.1</v>
      </c>
      <c r="L638" s="3">
        <v>13489.27</v>
      </c>
      <c r="M638" t="s">
        <v>40</v>
      </c>
      <c r="N638">
        <f t="shared" si="18"/>
        <v>2025</v>
      </c>
      <c r="O638" t="str">
        <f t="shared" si="19"/>
        <v>June</v>
      </c>
    </row>
    <row r="639" spans="1:15" x14ac:dyDescent="0.2">
      <c r="A639" t="s">
        <v>748</v>
      </c>
      <c r="B639" s="7">
        <v>45779</v>
      </c>
      <c r="C639" t="s">
        <v>29</v>
      </c>
      <c r="D639" t="s">
        <v>23</v>
      </c>
      <c r="E639" t="s">
        <v>24</v>
      </c>
      <c r="F639" t="s">
        <v>86</v>
      </c>
      <c r="G639" t="s">
        <v>18</v>
      </c>
      <c r="H639" t="s">
        <v>63</v>
      </c>
      <c r="I639" s="3">
        <v>51591.6</v>
      </c>
      <c r="J639">
        <v>4</v>
      </c>
      <c r="K639" s="5">
        <v>0.1</v>
      </c>
      <c r="L639" s="3">
        <v>4791.37</v>
      </c>
      <c r="M639" t="s">
        <v>35</v>
      </c>
      <c r="N639">
        <f t="shared" si="18"/>
        <v>2025</v>
      </c>
      <c r="O639" t="str">
        <f t="shared" si="19"/>
        <v>May</v>
      </c>
    </row>
    <row r="640" spans="1:15" x14ac:dyDescent="0.2">
      <c r="A640" t="s">
        <v>749</v>
      </c>
      <c r="B640" s="7">
        <v>45295</v>
      </c>
      <c r="C640" t="s">
        <v>76</v>
      </c>
      <c r="D640" t="s">
        <v>15</v>
      </c>
      <c r="E640" t="s">
        <v>65</v>
      </c>
      <c r="F640" t="s">
        <v>66</v>
      </c>
      <c r="G640" t="s">
        <v>42</v>
      </c>
      <c r="H640" t="s">
        <v>119</v>
      </c>
      <c r="I640" s="3">
        <v>11760</v>
      </c>
      <c r="J640">
        <v>6</v>
      </c>
      <c r="K640" s="5">
        <v>0</v>
      </c>
      <c r="L640" s="3">
        <v>2107.23</v>
      </c>
      <c r="M640" t="s">
        <v>40</v>
      </c>
      <c r="N640">
        <f t="shared" si="18"/>
        <v>2024</v>
      </c>
      <c r="O640" t="str">
        <f t="shared" si="19"/>
        <v>January</v>
      </c>
    </row>
    <row r="641" spans="1:15" x14ac:dyDescent="0.2">
      <c r="A641" t="s">
        <v>750</v>
      </c>
      <c r="B641" s="7">
        <v>45298</v>
      </c>
      <c r="C641" t="s">
        <v>45</v>
      </c>
      <c r="D641" t="s">
        <v>30</v>
      </c>
      <c r="E641" t="s">
        <v>72</v>
      </c>
      <c r="F641" t="s">
        <v>207</v>
      </c>
      <c r="G641" t="s">
        <v>33</v>
      </c>
      <c r="H641" t="s">
        <v>48</v>
      </c>
      <c r="I641" s="3">
        <v>66896.7</v>
      </c>
      <c r="J641">
        <v>6</v>
      </c>
      <c r="K641" s="5">
        <v>0.15</v>
      </c>
      <c r="L641" s="3">
        <v>5308.18</v>
      </c>
      <c r="M641" t="s">
        <v>20</v>
      </c>
      <c r="N641">
        <f t="shared" si="18"/>
        <v>2024</v>
      </c>
      <c r="O641" t="str">
        <f t="shared" si="19"/>
        <v>January</v>
      </c>
    </row>
    <row r="642" spans="1:15" x14ac:dyDescent="0.2">
      <c r="A642" t="s">
        <v>751</v>
      </c>
      <c r="B642" s="7">
        <v>45322</v>
      </c>
      <c r="C642" t="s">
        <v>76</v>
      </c>
      <c r="D642" t="s">
        <v>23</v>
      </c>
      <c r="E642" t="s">
        <v>79</v>
      </c>
      <c r="F642" t="s">
        <v>107</v>
      </c>
      <c r="G642" t="s">
        <v>18</v>
      </c>
      <c r="H642" t="s">
        <v>70</v>
      </c>
      <c r="I642" s="3">
        <v>135279</v>
      </c>
      <c r="J642">
        <v>5</v>
      </c>
      <c r="K642" s="5">
        <v>0.1</v>
      </c>
      <c r="L642" s="3">
        <v>8628.23</v>
      </c>
      <c r="M642" t="s">
        <v>40</v>
      </c>
      <c r="N642">
        <f t="shared" ref="N642:N705" si="20">YEAR(B642)</f>
        <v>2024</v>
      </c>
      <c r="O642" t="str">
        <f t="shared" ref="O642:O705" si="21">TEXT(B642,"mmmm")</f>
        <v>January</v>
      </c>
    </row>
    <row r="643" spans="1:15" x14ac:dyDescent="0.2">
      <c r="A643" t="s">
        <v>752</v>
      </c>
      <c r="B643" s="7">
        <v>45560</v>
      </c>
      <c r="C643" t="s">
        <v>37</v>
      </c>
      <c r="D643" t="s">
        <v>30</v>
      </c>
      <c r="E643" t="s">
        <v>31</v>
      </c>
      <c r="F643" t="s">
        <v>188</v>
      </c>
      <c r="G643" t="s">
        <v>33</v>
      </c>
      <c r="H643" t="s">
        <v>34</v>
      </c>
      <c r="I643" s="3">
        <v>25248.15</v>
      </c>
      <c r="J643">
        <v>3</v>
      </c>
      <c r="K643" s="5">
        <v>0.05</v>
      </c>
      <c r="L643" s="3">
        <v>1812.78</v>
      </c>
      <c r="M643" t="s">
        <v>20</v>
      </c>
      <c r="N643">
        <f t="shared" si="20"/>
        <v>2024</v>
      </c>
      <c r="O643" t="str">
        <f t="shared" si="21"/>
        <v>September</v>
      </c>
    </row>
    <row r="644" spans="1:15" x14ac:dyDescent="0.2">
      <c r="A644" t="s">
        <v>753</v>
      </c>
      <c r="B644" s="7">
        <v>45968</v>
      </c>
      <c r="C644" t="s">
        <v>55</v>
      </c>
      <c r="D644" t="s">
        <v>15</v>
      </c>
      <c r="E644" t="s">
        <v>46</v>
      </c>
      <c r="F644" t="s">
        <v>47</v>
      </c>
      <c r="G644" t="s">
        <v>58</v>
      </c>
      <c r="H644" t="s">
        <v>95</v>
      </c>
      <c r="I644" s="3">
        <v>3898.8</v>
      </c>
      <c r="J644">
        <v>4</v>
      </c>
      <c r="K644" s="5">
        <v>0.1</v>
      </c>
      <c r="L644" s="3">
        <v>845.64</v>
      </c>
      <c r="M644" t="s">
        <v>35</v>
      </c>
      <c r="N644">
        <f t="shared" si="20"/>
        <v>2025</v>
      </c>
      <c r="O644" t="str">
        <f t="shared" si="21"/>
        <v>November</v>
      </c>
    </row>
    <row r="645" spans="1:15" x14ac:dyDescent="0.2">
      <c r="A645" t="s">
        <v>754</v>
      </c>
      <c r="B645" s="7">
        <v>45675</v>
      </c>
      <c r="C645" t="s">
        <v>45</v>
      </c>
      <c r="D645" t="s">
        <v>15</v>
      </c>
      <c r="E645" t="s">
        <v>61</v>
      </c>
      <c r="F645" t="s">
        <v>111</v>
      </c>
      <c r="G645" t="s">
        <v>18</v>
      </c>
      <c r="H645" t="s">
        <v>70</v>
      </c>
      <c r="I645" s="3">
        <v>2124</v>
      </c>
      <c r="J645">
        <v>3</v>
      </c>
      <c r="K645" s="5">
        <v>0.2</v>
      </c>
      <c r="L645" s="3">
        <v>224.38</v>
      </c>
      <c r="M645" t="s">
        <v>35</v>
      </c>
      <c r="N645">
        <f t="shared" si="20"/>
        <v>2025</v>
      </c>
      <c r="O645" t="str">
        <f t="shared" si="21"/>
        <v>January</v>
      </c>
    </row>
    <row r="646" spans="1:15" x14ac:dyDescent="0.2">
      <c r="A646" t="s">
        <v>755</v>
      </c>
      <c r="B646" s="7">
        <v>45578</v>
      </c>
      <c r="C646" t="s">
        <v>55</v>
      </c>
      <c r="D646" t="s">
        <v>30</v>
      </c>
      <c r="E646" t="s">
        <v>31</v>
      </c>
      <c r="F646" t="s">
        <v>188</v>
      </c>
      <c r="G646" t="s">
        <v>18</v>
      </c>
      <c r="H646" t="s">
        <v>26</v>
      </c>
      <c r="I646" s="3">
        <v>26923</v>
      </c>
      <c r="J646">
        <v>5</v>
      </c>
      <c r="K646" s="5">
        <v>0.05</v>
      </c>
      <c r="L646" s="3">
        <v>2104.08</v>
      </c>
      <c r="M646" t="s">
        <v>35</v>
      </c>
      <c r="N646">
        <f t="shared" si="20"/>
        <v>2024</v>
      </c>
      <c r="O646" t="str">
        <f t="shared" si="21"/>
        <v>October</v>
      </c>
    </row>
    <row r="647" spans="1:15" x14ac:dyDescent="0.2">
      <c r="A647" t="s">
        <v>756</v>
      </c>
      <c r="B647" s="7">
        <v>45823</v>
      </c>
      <c r="C647" t="s">
        <v>29</v>
      </c>
      <c r="D647" t="s">
        <v>15</v>
      </c>
      <c r="E647" t="s">
        <v>61</v>
      </c>
      <c r="F647" t="s">
        <v>62</v>
      </c>
      <c r="G647" t="s">
        <v>33</v>
      </c>
      <c r="H647" t="s">
        <v>128</v>
      </c>
      <c r="I647" s="3">
        <v>2702.4</v>
      </c>
      <c r="J647">
        <v>2</v>
      </c>
      <c r="K647" s="5">
        <v>0.2</v>
      </c>
      <c r="L647" s="3">
        <v>283.36</v>
      </c>
      <c r="M647" t="s">
        <v>40</v>
      </c>
      <c r="N647">
        <f t="shared" si="20"/>
        <v>2025</v>
      </c>
      <c r="O647" t="str">
        <f t="shared" si="21"/>
        <v>June</v>
      </c>
    </row>
    <row r="648" spans="1:15" x14ac:dyDescent="0.2">
      <c r="A648" t="s">
        <v>757</v>
      </c>
      <c r="B648" s="7">
        <v>45499</v>
      </c>
      <c r="C648" t="s">
        <v>29</v>
      </c>
      <c r="D648" t="s">
        <v>30</v>
      </c>
      <c r="E648" t="s">
        <v>104</v>
      </c>
      <c r="F648" t="s">
        <v>137</v>
      </c>
      <c r="G648" t="s">
        <v>58</v>
      </c>
      <c r="H648" t="s">
        <v>59</v>
      </c>
      <c r="I648" s="3">
        <v>69690</v>
      </c>
      <c r="J648">
        <v>5</v>
      </c>
      <c r="K648" s="5">
        <v>0</v>
      </c>
      <c r="L648" s="3">
        <v>8463.15</v>
      </c>
      <c r="M648" t="s">
        <v>40</v>
      </c>
      <c r="N648">
        <f t="shared" si="20"/>
        <v>2024</v>
      </c>
      <c r="O648" t="str">
        <f t="shared" si="21"/>
        <v>July</v>
      </c>
    </row>
    <row r="649" spans="1:15" x14ac:dyDescent="0.2">
      <c r="A649" t="s">
        <v>758</v>
      </c>
      <c r="B649" s="7">
        <v>45378</v>
      </c>
      <c r="C649" t="s">
        <v>68</v>
      </c>
      <c r="D649" t="s">
        <v>30</v>
      </c>
      <c r="E649" t="s">
        <v>31</v>
      </c>
      <c r="F649" t="s">
        <v>97</v>
      </c>
      <c r="G649" t="s">
        <v>42</v>
      </c>
      <c r="H649" t="s">
        <v>43</v>
      </c>
      <c r="I649" s="3">
        <v>31339.200000000001</v>
      </c>
      <c r="J649">
        <v>3</v>
      </c>
      <c r="K649" s="5">
        <v>0.2</v>
      </c>
      <c r="L649" s="3">
        <v>1471.43</v>
      </c>
      <c r="M649" t="s">
        <v>49</v>
      </c>
      <c r="N649">
        <f t="shared" si="20"/>
        <v>2024</v>
      </c>
      <c r="O649" t="str">
        <f t="shared" si="21"/>
        <v>March</v>
      </c>
    </row>
    <row r="650" spans="1:15" x14ac:dyDescent="0.2">
      <c r="A650" t="s">
        <v>759</v>
      </c>
      <c r="B650" s="7">
        <v>45801</v>
      </c>
      <c r="C650" t="s">
        <v>45</v>
      </c>
      <c r="D650" t="s">
        <v>15</v>
      </c>
      <c r="E650" t="s">
        <v>65</v>
      </c>
      <c r="F650" t="s">
        <v>66</v>
      </c>
      <c r="G650" t="s">
        <v>33</v>
      </c>
      <c r="H650" t="s">
        <v>128</v>
      </c>
      <c r="I650" s="3">
        <v>10276.5</v>
      </c>
      <c r="J650">
        <v>6</v>
      </c>
      <c r="K650" s="5">
        <v>0.15</v>
      </c>
      <c r="L650" s="3">
        <v>1277.27</v>
      </c>
      <c r="M650" t="s">
        <v>27</v>
      </c>
      <c r="N650">
        <f t="shared" si="20"/>
        <v>2025</v>
      </c>
      <c r="O650" t="str">
        <f t="shared" si="21"/>
        <v>May</v>
      </c>
    </row>
    <row r="651" spans="1:15" x14ac:dyDescent="0.2">
      <c r="A651" t="s">
        <v>760</v>
      </c>
      <c r="B651" s="7">
        <v>45805</v>
      </c>
      <c r="C651" t="s">
        <v>51</v>
      </c>
      <c r="D651" t="s">
        <v>30</v>
      </c>
      <c r="E651" t="s">
        <v>52</v>
      </c>
      <c r="F651" t="s">
        <v>53</v>
      </c>
      <c r="G651" t="s">
        <v>33</v>
      </c>
      <c r="H651" t="s">
        <v>109</v>
      </c>
      <c r="I651" s="3">
        <v>16430</v>
      </c>
      <c r="J651">
        <v>5</v>
      </c>
      <c r="K651" s="5">
        <v>0</v>
      </c>
      <c r="L651" s="3">
        <v>2282.19</v>
      </c>
      <c r="M651" t="s">
        <v>35</v>
      </c>
      <c r="N651">
        <f t="shared" si="20"/>
        <v>2025</v>
      </c>
      <c r="O651" t="str">
        <f t="shared" si="21"/>
        <v>May</v>
      </c>
    </row>
    <row r="652" spans="1:15" x14ac:dyDescent="0.2">
      <c r="A652" t="s">
        <v>761</v>
      </c>
      <c r="B652" s="7">
        <v>45493</v>
      </c>
      <c r="C652" t="s">
        <v>45</v>
      </c>
      <c r="D652" t="s">
        <v>15</v>
      </c>
      <c r="E652" t="s">
        <v>16</v>
      </c>
      <c r="F652" t="s">
        <v>17</v>
      </c>
      <c r="G652" t="s">
        <v>42</v>
      </c>
      <c r="H652" t="s">
        <v>98</v>
      </c>
      <c r="I652" s="3">
        <v>409.6</v>
      </c>
      <c r="J652">
        <v>2</v>
      </c>
      <c r="K652" s="5">
        <v>0.2</v>
      </c>
      <c r="L652" s="3">
        <v>28.7</v>
      </c>
      <c r="M652" t="s">
        <v>27</v>
      </c>
      <c r="N652">
        <f t="shared" si="20"/>
        <v>2024</v>
      </c>
      <c r="O652" t="str">
        <f t="shared" si="21"/>
        <v>July</v>
      </c>
    </row>
    <row r="653" spans="1:15" x14ac:dyDescent="0.2">
      <c r="A653" t="s">
        <v>762</v>
      </c>
      <c r="B653" s="7">
        <v>45705</v>
      </c>
      <c r="C653" t="s">
        <v>22</v>
      </c>
      <c r="D653" t="s">
        <v>30</v>
      </c>
      <c r="E653" t="s">
        <v>104</v>
      </c>
      <c r="F653" t="s">
        <v>170</v>
      </c>
      <c r="G653" t="s">
        <v>33</v>
      </c>
      <c r="H653" t="s">
        <v>48</v>
      </c>
      <c r="I653" s="3">
        <v>47758.5</v>
      </c>
      <c r="J653">
        <v>5</v>
      </c>
      <c r="K653" s="5">
        <v>0.1</v>
      </c>
      <c r="L653" s="3">
        <v>10106.92</v>
      </c>
      <c r="M653" t="s">
        <v>35</v>
      </c>
      <c r="N653">
        <f t="shared" si="20"/>
        <v>2025</v>
      </c>
      <c r="O653" t="str">
        <f t="shared" si="21"/>
        <v>February</v>
      </c>
    </row>
    <row r="654" spans="1:15" x14ac:dyDescent="0.2">
      <c r="A654" t="s">
        <v>763</v>
      </c>
      <c r="B654" s="7">
        <v>45857</v>
      </c>
      <c r="C654" t="s">
        <v>29</v>
      </c>
      <c r="D654" t="s">
        <v>15</v>
      </c>
      <c r="E654" t="s">
        <v>16</v>
      </c>
      <c r="F654" t="s">
        <v>204</v>
      </c>
      <c r="G654" t="s">
        <v>58</v>
      </c>
      <c r="H654" t="s">
        <v>74</v>
      </c>
      <c r="I654" s="3">
        <v>7763.4</v>
      </c>
      <c r="J654">
        <v>4</v>
      </c>
      <c r="K654" s="5">
        <v>0.05</v>
      </c>
      <c r="L654" s="3">
        <v>1324.94</v>
      </c>
      <c r="M654" t="s">
        <v>49</v>
      </c>
      <c r="N654">
        <f t="shared" si="20"/>
        <v>2025</v>
      </c>
      <c r="O654" t="str">
        <f t="shared" si="21"/>
        <v>July</v>
      </c>
    </row>
    <row r="655" spans="1:15" x14ac:dyDescent="0.2">
      <c r="A655" t="s">
        <v>764</v>
      </c>
      <c r="B655" s="7">
        <v>45434</v>
      </c>
      <c r="C655" t="s">
        <v>90</v>
      </c>
      <c r="D655" t="s">
        <v>30</v>
      </c>
      <c r="E655" t="s">
        <v>52</v>
      </c>
      <c r="F655" t="s">
        <v>127</v>
      </c>
      <c r="G655" t="s">
        <v>42</v>
      </c>
      <c r="H655" t="s">
        <v>98</v>
      </c>
      <c r="I655" s="3">
        <v>84974.399999999994</v>
      </c>
      <c r="J655">
        <v>7</v>
      </c>
      <c r="K655" s="5">
        <v>0.2</v>
      </c>
      <c r="L655" s="3">
        <v>3060.85</v>
      </c>
      <c r="M655" t="s">
        <v>40</v>
      </c>
      <c r="N655">
        <f t="shared" si="20"/>
        <v>2024</v>
      </c>
      <c r="O655" t="str">
        <f t="shared" si="21"/>
        <v>May</v>
      </c>
    </row>
    <row r="656" spans="1:15" x14ac:dyDescent="0.2">
      <c r="A656" t="s">
        <v>765</v>
      </c>
      <c r="B656" s="7">
        <v>45893</v>
      </c>
      <c r="C656" t="s">
        <v>14</v>
      </c>
      <c r="D656" t="s">
        <v>30</v>
      </c>
      <c r="E656" t="s">
        <v>52</v>
      </c>
      <c r="F656" t="s">
        <v>127</v>
      </c>
      <c r="G656" t="s">
        <v>58</v>
      </c>
      <c r="H656" t="s">
        <v>84</v>
      </c>
      <c r="I656" s="3">
        <v>47196.800000000003</v>
      </c>
      <c r="J656">
        <v>4</v>
      </c>
      <c r="K656" s="5">
        <v>0.2</v>
      </c>
      <c r="L656" s="3">
        <v>4244.29</v>
      </c>
      <c r="M656" t="s">
        <v>35</v>
      </c>
      <c r="N656">
        <f t="shared" si="20"/>
        <v>2025</v>
      </c>
      <c r="O656" t="str">
        <f t="shared" si="21"/>
        <v>August</v>
      </c>
    </row>
    <row r="657" spans="1:15" x14ac:dyDescent="0.2">
      <c r="A657" t="s">
        <v>766</v>
      </c>
      <c r="B657" s="7">
        <v>45484</v>
      </c>
      <c r="C657" t="s">
        <v>29</v>
      </c>
      <c r="D657" t="s">
        <v>23</v>
      </c>
      <c r="E657" t="s">
        <v>24</v>
      </c>
      <c r="F657" t="s">
        <v>25</v>
      </c>
      <c r="G657" t="s">
        <v>33</v>
      </c>
      <c r="H657" t="s">
        <v>34</v>
      </c>
      <c r="I657" s="3">
        <v>183330</v>
      </c>
      <c r="J657">
        <v>7</v>
      </c>
      <c r="K657" s="5">
        <v>0</v>
      </c>
      <c r="L657" s="3">
        <v>34264.03</v>
      </c>
      <c r="M657" t="s">
        <v>20</v>
      </c>
      <c r="N657">
        <f t="shared" si="20"/>
        <v>2024</v>
      </c>
      <c r="O657" t="str">
        <f t="shared" si="21"/>
        <v>July</v>
      </c>
    </row>
    <row r="658" spans="1:15" x14ac:dyDescent="0.2">
      <c r="A658" t="s">
        <v>767</v>
      </c>
      <c r="B658" s="7">
        <v>45483</v>
      </c>
      <c r="C658" t="s">
        <v>76</v>
      </c>
      <c r="D658" t="s">
        <v>30</v>
      </c>
      <c r="E658" t="s">
        <v>72</v>
      </c>
      <c r="F658" t="s">
        <v>217</v>
      </c>
      <c r="G658" t="s">
        <v>58</v>
      </c>
      <c r="H658" t="s">
        <v>84</v>
      </c>
      <c r="I658" s="3">
        <v>15888</v>
      </c>
      <c r="J658">
        <v>3</v>
      </c>
      <c r="K658" s="5">
        <v>0.2</v>
      </c>
      <c r="L658" s="3">
        <v>2029.26</v>
      </c>
      <c r="M658" t="s">
        <v>20</v>
      </c>
      <c r="N658">
        <f t="shared" si="20"/>
        <v>2024</v>
      </c>
      <c r="O658" t="str">
        <f t="shared" si="21"/>
        <v>July</v>
      </c>
    </row>
    <row r="659" spans="1:15" x14ac:dyDescent="0.2">
      <c r="A659" t="s">
        <v>768</v>
      </c>
      <c r="B659" s="7">
        <v>45626</v>
      </c>
      <c r="C659" t="s">
        <v>22</v>
      </c>
      <c r="D659" t="s">
        <v>30</v>
      </c>
      <c r="E659" t="s">
        <v>104</v>
      </c>
      <c r="F659" t="s">
        <v>137</v>
      </c>
      <c r="G659" t="s">
        <v>33</v>
      </c>
      <c r="H659" t="s">
        <v>48</v>
      </c>
      <c r="I659" s="3">
        <v>4291.2</v>
      </c>
      <c r="J659">
        <v>2</v>
      </c>
      <c r="K659" s="5">
        <v>0.2</v>
      </c>
      <c r="L659" s="3">
        <v>138.22</v>
      </c>
      <c r="M659" t="s">
        <v>49</v>
      </c>
      <c r="N659">
        <f t="shared" si="20"/>
        <v>2024</v>
      </c>
      <c r="O659" t="str">
        <f t="shared" si="21"/>
        <v>November</v>
      </c>
    </row>
    <row r="660" spans="1:15" x14ac:dyDescent="0.2">
      <c r="A660" t="s">
        <v>769</v>
      </c>
      <c r="B660" s="7">
        <v>46018</v>
      </c>
      <c r="C660" t="s">
        <v>29</v>
      </c>
      <c r="D660" t="s">
        <v>23</v>
      </c>
      <c r="E660" t="s">
        <v>82</v>
      </c>
      <c r="F660" t="s">
        <v>83</v>
      </c>
      <c r="G660" t="s">
        <v>33</v>
      </c>
      <c r="H660" t="s">
        <v>109</v>
      </c>
      <c r="I660" s="3">
        <v>50716.7</v>
      </c>
      <c r="J660">
        <v>2</v>
      </c>
      <c r="K660" s="5">
        <v>0.05</v>
      </c>
      <c r="L660" s="3">
        <v>6565.35</v>
      </c>
      <c r="M660" t="s">
        <v>40</v>
      </c>
      <c r="N660">
        <f t="shared" si="20"/>
        <v>2025</v>
      </c>
      <c r="O660" t="str">
        <f t="shared" si="21"/>
        <v>December</v>
      </c>
    </row>
    <row r="661" spans="1:15" x14ac:dyDescent="0.2">
      <c r="A661" t="s">
        <v>770</v>
      </c>
      <c r="B661" s="7">
        <v>45700</v>
      </c>
      <c r="C661" t="s">
        <v>90</v>
      </c>
      <c r="D661" t="s">
        <v>15</v>
      </c>
      <c r="E661" t="s">
        <v>56</v>
      </c>
      <c r="F661" t="s">
        <v>100</v>
      </c>
      <c r="G661" t="s">
        <v>42</v>
      </c>
      <c r="H661" t="s">
        <v>98</v>
      </c>
      <c r="I661" s="3">
        <v>988</v>
      </c>
      <c r="J661">
        <v>8</v>
      </c>
      <c r="K661" s="5">
        <v>0.05</v>
      </c>
      <c r="L661" s="3">
        <v>154.77000000000001</v>
      </c>
      <c r="M661" t="s">
        <v>40</v>
      </c>
      <c r="N661">
        <f t="shared" si="20"/>
        <v>2025</v>
      </c>
      <c r="O661" t="str">
        <f t="shared" si="21"/>
        <v>February</v>
      </c>
    </row>
    <row r="662" spans="1:15" x14ac:dyDescent="0.2">
      <c r="A662" t="s">
        <v>771</v>
      </c>
      <c r="B662" s="7">
        <v>46020</v>
      </c>
      <c r="C662" t="s">
        <v>68</v>
      </c>
      <c r="D662" t="s">
        <v>15</v>
      </c>
      <c r="E662" t="s">
        <v>65</v>
      </c>
      <c r="F662" t="s">
        <v>66</v>
      </c>
      <c r="G662" t="s">
        <v>58</v>
      </c>
      <c r="H662" t="s">
        <v>59</v>
      </c>
      <c r="I662" s="3">
        <v>1087.1500000000001</v>
      </c>
      <c r="J662">
        <v>1</v>
      </c>
      <c r="K662" s="5">
        <v>0.15</v>
      </c>
      <c r="L662" s="3">
        <v>121.6</v>
      </c>
      <c r="M662" t="s">
        <v>49</v>
      </c>
      <c r="N662">
        <f t="shared" si="20"/>
        <v>2025</v>
      </c>
      <c r="O662" t="str">
        <f t="shared" si="21"/>
        <v>December</v>
      </c>
    </row>
    <row r="663" spans="1:15" x14ac:dyDescent="0.2">
      <c r="A663" t="s">
        <v>772</v>
      </c>
      <c r="B663" s="7">
        <v>46007</v>
      </c>
      <c r="C663" t="s">
        <v>14</v>
      </c>
      <c r="D663" t="s">
        <v>15</v>
      </c>
      <c r="E663" t="s">
        <v>46</v>
      </c>
      <c r="F663" t="s">
        <v>176</v>
      </c>
      <c r="G663" t="s">
        <v>58</v>
      </c>
      <c r="H663" t="s">
        <v>74</v>
      </c>
      <c r="I663" s="3">
        <v>4765.6000000000004</v>
      </c>
      <c r="J663">
        <v>7</v>
      </c>
      <c r="K663" s="5">
        <v>0.2</v>
      </c>
      <c r="L663" s="3">
        <v>234.02</v>
      </c>
      <c r="M663" t="s">
        <v>40</v>
      </c>
      <c r="N663">
        <f t="shared" si="20"/>
        <v>2025</v>
      </c>
      <c r="O663" t="str">
        <f t="shared" si="21"/>
        <v>December</v>
      </c>
    </row>
    <row r="664" spans="1:15" x14ac:dyDescent="0.2">
      <c r="A664" t="s">
        <v>773</v>
      </c>
      <c r="B664" s="7">
        <v>45669</v>
      </c>
      <c r="C664" t="s">
        <v>37</v>
      </c>
      <c r="D664" t="s">
        <v>23</v>
      </c>
      <c r="E664" t="s">
        <v>79</v>
      </c>
      <c r="F664" t="s">
        <v>93</v>
      </c>
      <c r="G664" t="s">
        <v>42</v>
      </c>
      <c r="H664" t="s">
        <v>102</v>
      </c>
      <c r="I664" s="3">
        <v>194412.79999999999</v>
      </c>
      <c r="J664">
        <v>4</v>
      </c>
      <c r="K664" s="5">
        <v>0.2</v>
      </c>
      <c r="L664" s="3">
        <v>10546.14</v>
      </c>
      <c r="M664" t="s">
        <v>20</v>
      </c>
      <c r="N664">
        <f t="shared" si="20"/>
        <v>2025</v>
      </c>
      <c r="O664" t="str">
        <f t="shared" si="21"/>
        <v>January</v>
      </c>
    </row>
    <row r="665" spans="1:15" x14ac:dyDescent="0.2">
      <c r="A665" t="s">
        <v>774</v>
      </c>
      <c r="B665" s="7">
        <v>45946</v>
      </c>
      <c r="C665" t="s">
        <v>29</v>
      </c>
      <c r="D665" t="s">
        <v>15</v>
      </c>
      <c r="E665" t="s">
        <v>65</v>
      </c>
      <c r="F665" t="s">
        <v>147</v>
      </c>
      <c r="G665" t="s">
        <v>58</v>
      </c>
      <c r="H665" t="s">
        <v>59</v>
      </c>
      <c r="I665" s="3">
        <v>1198.5</v>
      </c>
      <c r="J665">
        <v>5</v>
      </c>
      <c r="K665" s="5">
        <v>0.15</v>
      </c>
      <c r="L665" s="3">
        <v>57.34</v>
      </c>
      <c r="M665" t="s">
        <v>49</v>
      </c>
      <c r="N665">
        <f t="shared" si="20"/>
        <v>2025</v>
      </c>
      <c r="O665" t="str">
        <f t="shared" si="21"/>
        <v>October</v>
      </c>
    </row>
    <row r="666" spans="1:15" x14ac:dyDescent="0.2">
      <c r="A666" t="s">
        <v>775</v>
      </c>
      <c r="B666" s="7">
        <v>45767</v>
      </c>
      <c r="C666" t="s">
        <v>29</v>
      </c>
      <c r="D666" t="s">
        <v>30</v>
      </c>
      <c r="E666" t="s">
        <v>122</v>
      </c>
      <c r="F666" t="s">
        <v>131</v>
      </c>
      <c r="G666" t="s">
        <v>33</v>
      </c>
      <c r="H666" t="s">
        <v>109</v>
      </c>
      <c r="I666" s="3">
        <v>4101.3</v>
      </c>
      <c r="J666">
        <v>1</v>
      </c>
      <c r="K666" s="5">
        <v>0.1</v>
      </c>
      <c r="L666" s="3">
        <v>775.39</v>
      </c>
      <c r="M666" t="s">
        <v>49</v>
      </c>
      <c r="N666">
        <f t="shared" si="20"/>
        <v>2025</v>
      </c>
      <c r="O666" t="str">
        <f t="shared" si="21"/>
        <v>April</v>
      </c>
    </row>
    <row r="667" spans="1:15" x14ac:dyDescent="0.2">
      <c r="A667" t="s">
        <v>776</v>
      </c>
      <c r="B667" s="7">
        <v>45913</v>
      </c>
      <c r="C667" t="s">
        <v>37</v>
      </c>
      <c r="D667" t="s">
        <v>23</v>
      </c>
      <c r="E667" t="s">
        <v>82</v>
      </c>
      <c r="F667" t="s">
        <v>265</v>
      </c>
      <c r="G667" t="s">
        <v>33</v>
      </c>
      <c r="H667" t="s">
        <v>109</v>
      </c>
      <c r="I667" s="3">
        <v>417749.2</v>
      </c>
      <c r="J667">
        <v>8</v>
      </c>
      <c r="K667" s="5">
        <v>0.05</v>
      </c>
      <c r="L667" s="3">
        <v>98254.27</v>
      </c>
      <c r="M667" t="s">
        <v>40</v>
      </c>
      <c r="N667">
        <f t="shared" si="20"/>
        <v>2025</v>
      </c>
      <c r="O667" t="str">
        <f t="shared" si="21"/>
        <v>September</v>
      </c>
    </row>
    <row r="668" spans="1:15" x14ac:dyDescent="0.2">
      <c r="A668" t="s">
        <v>777</v>
      </c>
      <c r="B668" s="7">
        <v>45513</v>
      </c>
      <c r="C668" t="s">
        <v>14</v>
      </c>
      <c r="D668" t="s">
        <v>30</v>
      </c>
      <c r="E668" t="s">
        <v>52</v>
      </c>
      <c r="F668" t="s">
        <v>53</v>
      </c>
      <c r="G668" t="s">
        <v>58</v>
      </c>
      <c r="H668" t="s">
        <v>74</v>
      </c>
      <c r="I668" s="3">
        <v>8290.0499999999993</v>
      </c>
      <c r="J668">
        <v>1</v>
      </c>
      <c r="K668" s="5">
        <v>0.15</v>
      </c>
      <c r="L668" s="3">
        <v>946.04</v>
      </c>
      <c r="M668" t="s">
        <v>35</v>
      </c>
      <c r="N668">
        <f t="shared" si="20"/>
        <v>2024</v>
      </c>
      <c r="O668" t="str">
        <f t="shared" si="21"/>
        <v>August</v>
      </c>
    </row>
    <row r="669" spans="1:15" x14ac:dyDescent="0.2">
      <c r="A669" t="s">
        <v>778</v>
      </c>
      <c r="B669" s="7">
        <v>45498</v>
      </c>
      <c r="C669" t="s">
        <v>76</v>
      </c>
      <c r="D669" t="s">
        <v>23</v>
      </c>
      <c r="E669" t="s">
        <v>38</v>
      </c>
      <c r="F669" t="s">
        <v>91</v>
      </c>
      <c r="G669" t="s">
        <v>18</v>
      </c>
      <c r="H669" t="s">
        <v>70</v>
      </c>
      <c r="I669" s="3">
        <v>151485</v>
      </c>
      <c r="J669">
        <v>5</v>
      </c>
      <c r="K669" s="5">
        <v>0</v>
      </c>
      <c r="L669" s="3">
        <v>35520.5</v>
      </c>
      <c r="M669" t="s">
        <v>27</v>
      </c>
      <c r="N669">
        <f t="shared" si="20"/>
        <v>2024</v>
      </c>
      <c r="O669" t="str">
        <f t="shared" si="21"/>
        <v>July</v>
      </c>
    </row>
    <row r="670" spans="1:15" x14ac:dyDescent="0.2">
      <c r="A670" t="s">
        <v>779</v>
      </c>
      <c r="B670" s="7">
        <v>45390</v>
      </c>
      <c r="C670" t="s">
        <v>55</v>
      </c>
      <c r="D670" t="s">
        <v>23</v>
      </c>
      <c r="E670" t="s">
        <v>24</v>
      </c>
      <c r="F670" t="s">
        <v>86</v>
      </c>
      <c r="G670" t="s">
        <v>18</v>
      </c>
      <c r="H670" t="s">
        <v>70</v>
      </c>
      <c r="I670" s="3">
        <v>2154</v>
      </c>
      <c r="J670">
        <v>1</v>
      </c>
      <c r="K670" s="5">
        <v>0</v>
      </c>
      <c r="L670" s="3">
        <v>267.33999999999997</v>
      </c>
      <c r="M670" t="s">
        <v>40</v>
      </c>
      <c r="N670">
        <f t="shared" si="20"/>
        <v>2024</v>
      </c>
      <c r="O670" t="str">
        <f t="shared" si="21"/>
        <v>April</v>
      </c>
    </row>
    <row r="671" spans="1:15" x14ac:dyDescent="0.2">
      <c r="A671" t="s">
        <v>780</v>
      </c>
      <c r="B671" s="7">
        <v>45415</v>
      </c>
      <c r="C671" t="s">
        <v>76</v>
      </c>
      <c r="D671" t="s">
        <v>23</v>
      </c>
      <c r="E671" t="s">
        <v>38</v>
      </c>
      <c r="F671" t="s">
        <v>91</v>
      </c>
      <c r="G671" t="s">
        <v>18</v>
      </c>
      <c r="H671" t="s">
        <v>19</v>
      </c>
      <c r="I671" s="3">
        <v>143269.20000000001</v>
      </c>
      <c r="J671">
        <v>4</v>
      </c>
      <c r="K671" s="5">
        <v>0.15</v>
      </c>
      <c r="L671" s="3">
        <v>32992.699999999997</v>
      </c>
      <c r="M671" t="s">
        <v>40</v>
      </c>
      <c r="N671">
        <f t="shared" si="20"/>
        <v>2024</v>
      </c>
      <c r="O671" t="str">
        <f t="shared" si="21"/>
        <v>May</v>
      </c>
    </row>
    <row r="672" spans="1:15" x14ac:dyDescent="0.2">
      <c r="A672" t="s">
        <v>781</v>
      </c>
      <c r="B672" s="7">
        <v>45517</v>
      </c>
      <c r="C672" t="s">
        <v>37</v>
      </c>
      <c r="D672" t="s">
        <v>23</v>
      </c>
      <c r="E672" t="s">
        <v>79</v>
      </c>
      <c r="F672" t="s">
        <v>107</v>
      </c>
      <c r="G672" t="s">
        <v>42</v>
      </c>
      <c r="H672" t="s">
        <v>98</v>
      </c>
      <c r="I672" s="3">
        <v>262157</v>
      </c>
      <c r="J672">
        <v>7</v>
      </c>
      <c r="K672" s="5">
        <v>0.15</v>
      </c>
      <c r="L672" s="3">
        <v>22297.39</v>
      </c>
      <c r="M672" t="s">
        <v>27</v>
      </c>
      <c r="N672">
        <f t="shared" si="20"/>
        <v>2024</v>
      </c>
      <c r="O672" t="str">
        <f t="shared" si="21"/>
        <v>August</v>
      </c>
    </row>
    <row r="673" spans="1:15" x14ac:dyDescent="0.2">
      <c r="A673" t="s">
        <v>782</v>
      </c>
      <c r="B673" s="7">
        <v>45874</v>
      </c>
      <c r="C673" t="s">
        <v>55</v>
      </c>
      <c r="D673" t="s">
        <v>15</v>
      </c>
      <c r="E673" t="s">
        <v>56</v>
      </c>
      <c r="F673" t="s">
        <v>88</v>
      </c>
      <c r="G673" t="s">
        <v>42</v>
      </c>
      <c r="H673" t="s">
        <v>102</v>
      </c>
      <c r="I673" s="3">
        <v>8584</v>
      </c>
      <c r="J673">
        <v>4</v>
      </c>
      <c r="K673" s="5">
        <v>0</v>
      </c>
      <c r="L673" s="3">
        <v>1909.99</v>
      </c>
      <c r="M673" t="s">
        <v>27</v>
      </c>
      <c r="N673">
        <f t="shared" si="20"/>
        <v>2025</v>
      </c>
      <c r="O673" t="str">
        <f t="shared" si="21"/>
        <v>August</v>
      </c>
    </row>
    <row r="674" spans="1:15" x14ac:dyDescent="0.2">
      <c r="A674" t="s">
        <v>783</v>
      </c>
      <c r="B674" s="7">
        <v>45310</v>
      </c>
      <c r="C674" t="s">
        <v>90</v>
      </c>
      <c r="D674" t="s">
        <v>23</v>
      </c>
      <c r="E674" t="s">
        <v>172</v>
      </c>
      <c r="F674" t="s">
        <v>173</v>
      </c>
      <c r="G674" t="s">
        <v>42</v>
      </c>
      <c r="H674" t="s">
        <v>43</v>
      </c>
      <c r="I674" s="3">
        <v>58550.55</v>
      </c>
      <c r="J674">
        <v>3</v>
      </c>
      <c r="K674" s="5">
        <v>0.15</v>
      </c>
      <c r="L674" s="3">
        <v>3278.99</v>
      </c>
      <c r="M674" t="s">
        <v>35</v>
      </c>
      <c r="N674">
        <f t="shared" si="20"/>
        <v>2024</v>
      </c>
      <c r="O674" t="str">
        <f t="shared" si="21"/>
        <v>January</v>
      </c>
    </row>
    <row r="675" spans="1:15" x14ac:dyDescent="0.2">
      <c r="A675" t="s">
        <v>784</v>
      </c>
      <c r="B675" s="7">
        <v>45541</v>
      </c>
      <c r="C675" t="s">
        <v>90</v>
      </c>
      <c r="D675" t="s">
        <v>30</v>
      </c>
      <c r="E675" t="s">
        <v>122</v>
      </c>
      <c r="F675" t="s">
        <v>131</v>
      </c>
      <c r="G675" t="s">
        <v>33</v>
      </c>
      <c r="H675" t="s">
        <v>128</v>
      </c>
      <c r="I675" s="3">
        <v>4621.75</v>
      </c>
      <c r="J675">
        <v>1</v>
      </c>
      <c r="K675" s="5">
        <v>0.05</v>
      </c>
      <c r="L675" s="3">
        <v>994.06</v>
      </c>
      <c r="M675" t="s">
        <v>20</v>
      </c>
      <c r="N675">
        <f t="shared" si="20"/>
        <v>2024</v>
      </c>
      <c r="O675" t="str">
        <f t="shared" si="21"/>
        <v>September</v>
      </c>
    </row>
    <row r="676" spans="1:15" x14ac:dyDescent="0.2">
      <c r="A676" t="s">
        <v>785</v>
      </c>
      <c r="B676" s="7">
        <v>45904</v>
      </c>
      <c r="C676" t="s">
        <v>29</v>
      </c>
      <c r="D676" t="s">
        <v>23</v>
      </c>
      <c r="E676" t="s">
        <v>24</v>
      </c>
      <c r="F676" t="s">
        <v>86</v>
      </c>
      <c r="G676" t="s">
        <v>42</v>
      </c>
      <c r="H676" t="s">
        <v>43</v>
      </c>
      <c r="I676" s="3">
        <v>44556</v>
      </c>
      <c r="J676">
        <v>4</v>
      </c>
      <c r="K676" s="5">
        <v>0</v>
      </c>
      <c r="L676" s="3">
        <v>5685.92</v>
      </c>
      <c r="M676" t="s">
        <v>27</v>
      </c>
      <c r="N676">
        <f t="shared" si="20"/>
        <v>2025</v>
      </c>
      <c r="O676" t="str">
        <f t="shared" si="21"/>
        <v>September</v>
      </c>
    </row>
    <row r="677" spans="1:15" x14ac:dyDescent="0.2">
      <c r="A677" t="s">
        <v>786</v>
      </c>
      <c r="B677" s="7">
        <v>45631</v>
      </c>
      <c r="C677" t="s">
        <v>45</v>
      </c>
      <c r="D677" t="s">
        <v>23</v>
      </c>
      <c r="E677" t="s">
        <v>79</v>
      </c>
      <c r="F677" t="s">
        <v>93</v>
      </c>
      <c r="G677" t="s">
        <v>42</v>
      </c>
      <c r="H677" t="s">
        <v>102</v>
      </c>
      <c r="I677" s="3">
        <v>290405.5</v>
      </c>
      <c r="J677">
        <v>7</v>
      </c>
      <c r="K677" s="5">
        <v>0.05</v>
      </c>
      <c r="L677" s="3">
        <v>68793.279999999999</v>
      </c>
      <c r="M677" t="s">
        <v>40</v>
      </c>
      <c r="N677">
        <f t="shared" si="20"/>
        <v>2024</v>
      </c>
      <c r="O677" t="str">
        <f t="shared" si="21"/>
        <v>December</v>
      </c>
    </row>
    <row r="678" spans="1:15" x14ac:dyDescent="0.2">
      <c r="A678" t="s">
        <v>787</v>
      </c>
      <c r="B678" s="7">
        <v>45936</v>
      </c>
      <c r="C678" t="s">
        <v>14</v>
      </c>
      <c r="D678" t="s">
        <v>23</v>
      </c>
      <c r="E678" t="s">
        <v>172</v>
      </c>
      <c r="F678" t="s">
        <v>173</v>
      </c>
      <c r="G678" t="s">
        <v>18</v>
      </c>
      <c r="H678" t="s">
        <v>26</v>
      </c>
      <c r="I678" s="3">
        <v>147780</v>
      </c>
      <c r="J678">
        <v>4</v>
      </c>
      <c r="K678" s="5">
        <v>0.1</v>
      </c>
      <c r="L678" s="3">
        <v>13552.77</v>
      </c>
      <c r="M678" t="s">
        <v>20</v>
      </c>
      <c r="N678">
        <f t="shared" si="20"/>
        <v>2025</v>
      </c>
      <c r="O678" t="str">
        <f t="shared" si="21"/>
        <v>October</v>
      </c>
    </row>
    <row r="679" spans="1:15" x14ac:dyDescent="0.2">
      <c r="A679" t="s">
        <v>788</v>
      </c>
      <c r="B679" s="7">
        <v>45854</v>
      </c>
      <c r="C679" t="s">
        <v>76</v>
      </c>
      <c r="D679" t="s">
        <v>30</v>
      </c>
      <c r="E679" t="s">
        <v>52</v>
      </c>
      <c r="F679" t="s">
        <v>118</v>
      </c>
      <c r="G679" t="s">
        <v>33</v>
      </c>
      <c r="H679" t="s">
        <v>128</v>
      </c>
      <c r="I679" s="3">
        <v>22473</v>
      </c>
      <c r="J679">
        <v>3</v>
      </c>
      <c r="K679" s="5">
        <v>0</v>
      </c>
      <c r="L679" s="3">
        <v>2578.44</v>
      </c>
      <c r="M679" t="s">
        <v>40</v>
      </c>
      <c r="N679">
        <f t="shared" si="20"/>
        <v>2025</v>
      </c>
      <c r="O679" t="str">
        <f t="shared" si="21"/>
        <v>July</v>
      </c>
    </row>
    <row r="680" spans="1:15" x14ac:dyDescent="0.2">
      <c r="A680" t="s">
        <v>789</v>
      </c>
      <c r="B680" s="7">
        <v>45546</v>
      </c>
      <c r="C680" t="s">
        <v>68</v>
      </c>
      <c r="D680" t="s">
        <v>15</v>
      </c>
      <c r="E680" t="s">
        <v>16</v>
      </c>
      <c r="F680" t="s">
        <v>204</v>
      </c>
      <c r="G680" t="s">
        <v>58</v>
      </c>
      <c r="H680" t="s">
        <v>59</v>
      </c>
      <c r="I680" s="3">
        <v>2812.65</v>
      </c>
      <c r="J680">
        <v>3</v>
      </c>
      <c r="K680" s="5">
        <v>0.15</v>
      </c>
      <c r="L680" s="3">
        <v>218.79</v>
      </c>
      <c r="M680" t="s">
        <v>27</v>
      </c>
      <c r="N680">
        <f t="shared" si="20"/>
        <v>2024</v>
      </c>
      <c r="O680" t="str">
        <f t="shared" si="21"/>
        <v>September</v>
      </c>
    </row>
    <row r="681" spans="1:15" x14ac:dyDescent="0.2">
      <c r="A681" t="s">
        <v>790</v>
      </c>
      <c r="B681" s="7">
        <v>45743</v>
      </c>
      <c r="C681" t="s">
        <v>22</v>
      </c>
      <c r="D681" t="s">
        <v>15</v>
      </c>
      <c r="E681" t="s">
        <v>61</v>
      </c>
      <c r="F681" t="s">
        <v>62</v>
      </c>
      <c r="G681" t="s">
        <v>33</v>
      </c>
      <c r="H681" t="s">
        <v>34</v>
      </c>
      <c r="I681" s="3">
        <v>2942.7</v>
      </c>
      <c r="J681">
        <v>2</v>
      </c>
      <c r="K681" s="5">
        <v>0.15</v>
      </c>
      <c r="L681" s="3">
        <v>223.8</v>
      </c>
      <c r="M681" t="s">
        <v>35</v>
      </c>
      <c r="N681">
        <f t="shared" si="20"/>
        <v>2025</v>
      </c>
      <c r="O681" t="str">
        <f t="shared" si="21"/>
        <v>March</v>
      </c>
    </row>
    <row r="682" spans="1:15" x14ac:dyDescent="0.2">
      <c r="A682" t="s">
        <v>791</v>
      </c>
      <c r="B682" s="7">
        <v>45858</v>
      </c>
      <c r="C682" t="s">
        <v>55</v>
      </c>
      <c r="D682" t="s">
        <v>15</v>
      </c>
      <c r="E682" t="s">
        <v>61</v>
      </c>
      <c r="F682" t="s">
        <v>111</v>
      </c>
      <c r="G682" t="s">
        <v>33</v>
      </c>
      <c r="H682" t="s">
        <v>109</v>
      </c>
      <c r="I682" s="3">
        <v>7442.4</v>
      </c>
      <c r="J682">
        <v>7</v>
      </c>
      <c r="K682" s="5">
        <v>0.2</v>
      </c>
      <c r="L682" s="3">
        <v>1022.88</v>
      </c>
      <c r="M682" t="s">
        <v>27</v>
      </c>
      <c r="N682">
        <f t="shared" si="20"/>
        <v>2025</v>
      </c>
      <c r="O682" t="str">
        <f t="shared" si="21"/>
        <v>July</v>
      </c>
    </row>
    <row r="683" spans="1:15" x14ac:dyDescent="0.2">
      <c r="A683" t="s">
        <v>792</v>
      </c>
      <c r="B683" s="7">
        <v>45772</v>
      </c>
      <c r="C683" t="s">
        <v>76</v>
      </c>
      <c r="D683" t="s">
        <v>30</v>
      </c>
      <c r="E683" t="s">
        <v>122</v>
      </c>
      <c r="F683" t="s">
        <v>160</v>
      </c>
      <c r="G683" t="s">
        <v>42</v>
      </c>
      <c r="H683" t="s">
        <v>43</v>
      </c>
      <c r="I683" s="3">
        <v>104302.8</v>
      </c>
      <c r="J683">
        <v>7</v>
      </c>
      <c r="K683" s="5">
        <v>0.1</v>
      </c>
      <c r="L683" s="3">
        <v>8587.3799999999992</v>
      </c>
      <c r="M683" t="s">
        <v>40</v>
      </c>
      <c r="N683">
        <f t="shared" si="20"/>
        <v>2025</v>
      </c>
      <c r="O683" t="str">
        <f t="shared" si="21"/>
        <v>April</v>
      </c>
    </row>
    <row r="684" spans="1:15" x14ac:dyDescent="0.2">
      <c r="A684" t="s">
        <v>793</v>
      </c>
      <c r="B684" s="7">
        <v>45607</v>
      </c>
      <c r="C684" t="s">
        <v>90</v>
      </c>
      <c r="D684" t="s">
        <v>23</v>
      </c>
      <c r="E684" t="s">
        <v>82</v>
      </c>
      <c r="F684" t="s">
        <v>83</v>
      </c>
      <c r="G684" t="s">
        <v>18</v>
      </c>
      <c r="H684" t="s">
        <v>19</v>
      </c>
      <c r="I684" s="3">
        <v>389755.8</v>
      </c>
      <c r="J684">
        <v>7</v>
      </c>
      <c r="K684" s="5">
        <v>0.1</v>
      </c>
      <c r="L684" s="3">
        <v>51372.73</v>
      </c>
      <c r="M684" t="s">
        <v>20</v>
      </c>
      <c r="N684">
        <f t="shared" si="20"/>
        <v>2024</v>
      </c>
      <c r="O684" t="str">
        <f t="shared" si="21"/>
        <v>November</v>
      </c>
    </row>
    <row r="685" spans="1:15" x14ac:dyDescent="0.2">
      <c r="A685" t="s">
        <v>794</v>
      </c>
      <c r="B685" s="7">
        <v>45792</v>
      </c>
      <c r="C685" t="s">
        <v>45</v>
      </c>
      <c r="D685" t="s">
        <v>30</v>
      </c>
      <c r="E685" t="s">
        <v>52</v>
      </c>
      <c r="F685" t="s">
        <v>118</v>
      </c>
      <c r="G685" t="s">
        <v>18</v>
      </c>
      <c r="H685" t="s">
        <v>63</v>
      </c>
      <c r="I685" s="3">
        <v>40759.199999999997</v>
      </c>
      <c r="J685">
        <v>3</v>
      </c>
      <c r="K685" s="5">
        <v>0.1</v>
      </c>
      <c r="L685" s="3">
        <v>6396</v>
      </c>
      <c r="M685" t="s">
        <v>20</v>
      </c>
      <c r="N685">
        <f t="shared" si="20"/>
        <v>2025</v>
      </c>
      <c r="O685" t="str">
        <f t="shared" si="21"/>
        <v>May</v>
      </c>
    </row>
    <row r="686" spans="1:15" x14ac:dyDescent="0.2">
      <c r="A686" t="s">
        <v>795</v>
      </c>
      <c r="B686" s="7">
        <v>45758</v>
      </c>
      <c r="C686" t="s">
        <v>55</v>
      </c>
      <c r="D686" t="s">
        <v>15</v>
      </c>
      <c r="E686" t="s">
        <v>61</v>
      </c>
      <c r="F686" t="s">
        <v>111</v>
      </c>
      <c r="G686" t="s">
        <v>58</v>
      </c>
      <c r="H686" t="s">
        <v>74</v>
      </c>
      <c r="I686" s="3">
        <v>1634</v>
      </c>
      <c r="J686">
        <v>8</v>
      </c>
      <c r="K686" s="5">
        <v>0.05</v>
      </c>
      <c r="L686" s="3">
        <v>195.7</v>
      </c>
      <c r="M686" t="s">
        <v>27</v>
      </c>
      <c r="N686">
        <f t="shared" si="20"/>
        <v>2025</v>
      </c>
      <c r="O686" t="str">
        <f t="shared" si="21"/>
        <v>April</v>
      </c>
    </row>
    <row r="687" spans="1:15" x14ac:dyDescent="0.2">
      <c r="A687" t="s">
        <v>796</v>
      </c>
      <c r="B687" s="7">
        <v>45374</v>
      </c>
      <c r="C687" t="s">
        <v>51</v>
      </c>
      <c r="D687" t="s">
        <v>23</v>
      </c>
      <c r="E687" t="s">
        <v>172</v>
      </c>
      <c r="F687" t="s">
        <v>182</v>
      </c>
      <c r="G687" t="s">
        <v>33</v>
      </c>
      <c r="H687" t="s">
        <v>128</v>
      </c>
      <c r="I687" s="3">
        <v>69489.600000000006</v>
      </c>
      <c r="J687">
        <v>2</v>
      </c>
      <c r="K687" s="5">
        <v>0.2</v>
      </c>
      <c r="L687" s="3">
        <v>15623.29</v>
      </c>
      <c r="M687" t="s">
        <v>40</v>
      </c>
      <c r="N687">
        <f t="shared" si="20"/>
        <v>2024</v>
      </c>
      <c r="O687" t="str">
        <f t="shared" si="21"/>
        <v>March</v>
      </c>
    </row>
    <row r="688" spans="1:15" x14ac:dyDescent="0.2">
      <c r="A688" t="s">
        <v>797</v>
      </c>
      <c r="B688" s="7">
        <v>45383</v>
      </c>
      <c r="C688" t="s">
        <v>37</v>
      </c>
      <c r="D688" t="s">
        <v>30</v>
      </c>
      <c r="E688" t="s">
        <v>31</v>
      </c>
      <c r="F688" t="s">
        <v>188</v>
      </c>
      <c r="G688" t="s">
        <v>58</v>
      </c>
      <c r="H688" t="s">
        <v>84</v>
      </c>
      <c r="I688" s="3">
        <v>60043.5</v>
      </c>
      <c r="J688">
        <v>5</v>
      </c>
      <c r="K688" s="5">
        <v>0.1</v>
      </c>
      <c r="L688" s="3">
        <v>12115.98</v>
      </c>
      <c r="M688" t="s">
        <v>35</v>
      </c>
      <c r="N688">
        <f t="shared" si="20"/>
        <v>2024</v>
      </c>
      <c r="O688" t="str">
        <f t="shared" si="21"/>
        <v>April</v>
      </c>
    </row>
    <row r="689" spans="1:15" x14ac:dyDescent="0.2">
      <c r="A689" t="s">
        <v>798</v>
      </c>
      <c r="B689" s="7">
        <v>45293</v>
      </c>
      <c r="C689" t="s">
        <v>37</v>
      </c>
      <c r="D689" t="s">
        <v>30</v>
      </c>
      <c r="E689" t="s">
        <v>31</v>
      </c>
      <c r="F689" t="s">
        <v>188</v>
      </c>
      <c r="G689" t="s">
        <v>42</v>
      </c>
      <c r="H689" t="s">
        <v>98</v>
      </c>
      <c r="I689" s="3">
        <v>72451.75</v>
      </c>
      <c r="J689">
        <v>7</v>
      </c>
      <c r="K689" s="5">
        <v>0.05</v>
      </c>
      <c r="L689" s="3">
        <v>16720.259999999998</v>
      </c>
      <c r="M689" t="s">
        <v>20</v>
      </c>
      <c r="N689">
        <f t="shared" si="20"/>
        <v>2024</v>
      </c>
      <c r="O689" t="str">
        <f t="shared" si="21"/>
        <v>January</v>
      </c>
    </row>
    <row r="690" spans="1:15" x14ac:dyDescent="0.2">
      <c r="A690" t="s">
        <v>799</v>
      </c>
      <c r="B690" s="7">
        <v>45494</v>
      </c>
      <c r="C690" t="s">
        <v>29</v>
      </c>
      <c r="D690" t="s">
        <v>15</v>
      </c>
      <c r="E690" t="s">
        <v>61</v>
      </c>
      <c r="F690" t="s">
        <v>144</v>
      </c>
      <c r="G690" t="s">
        <v>58</v>
      </c>
      <c r="H690" t="s">
        <v>84</v>
      </c>
      <c r="I690" s="3">
        <v>10866.1</v>
      </c>
      <c r="J690">
        <v>7</v>
      </c>
      <c r="K690" s="5">
        <v>0.05</v>
      </c>
      <c r="L690" s="3">
        <v>2263.5100000000002</v>
      </c>
      <c r="M690" t="s">
        <v>40</v>
      </c>
      <c r="N690">
        <f t="shared" si="20"/>
        <v>2024</v>
      </c>
      <c r="O690" t="str">
        <f t="shared" si="21"/>
        <v>July</v>
      </c>
    </row>
    <row r="691" spans="1:15" x14ac:dyDescent="0.2">
      <c r="A691" t="s">
        <v>800</v>
      </c>
      <c r="B691" s="7">
        <v>45710</v>
      </c>
      <c r="C691" t="s">
        <v>29</v>
      </c>
      <c r="D691" t="s">
        <v>15</v>
      </c>
      <c r="E691" t="s">
        <v>16</v>
      </c>
      <c r="F691" t="s">
        <v>17</v>
      </c>
      <c r="G691" t="s">
        <v>58</v>
      </c>
      <c r="H691" t="s">
        <v>74</v>
      </c>
      <c r="I691" s="3">
        <v>3186</v>
      </c>
      <c r="J691">
        <v>4</v>
      </c>
      <c r="K691" s="5">
        <v>0.1</v>
      </c>
      <c r="L691" s="3">
        <v>801.56</v>
      </c>
      <c r="M691" t="s">
        <v>35</v>
      </c>
      <c r="N691">
        <f t="shared" si="20"/>
        <v>2025</v>
      </c>
      <c r="O691" t="str">
        <f t="shared" si="21"/>
        <v>February</v>
      </c>
    </row>
    <row r="692" spans="1:15" x14ac:dyDescent="0.2">
      <c r="A692" t="s">
        <v>801</v>
      </c>
      <c r="B692" s="7">
        <v>45532</v>
      </c>
      <c r="C692" t="s">
        <v>29</v>
      </c>
      <c r="D692" t="s">
        <v>23</v>
      </c>
      <c r="E692" t="s">
        <v>24</v>
      </c>
      <c r="F692" t="s">
        <v>77</v>
      </c>
      <c r="G692" t="s">
        <v>18</v>
      </c>
      <c r="H692" t="s">
        <v>19</v>
      </c>
      <c r="I692" s="3">
        <v>59037.3</v>
      </c>
      <c r="J692">
        <v>7</v>
      </c>
      <c r="K692" s="5">
        <v>0.1</v>
      </c>
      <c r="L692" s="3">
        <v>3597.34</v>
      </c>
      <c r="M692" t="s">
        <v>49</v>
      </c>
      <c r="N692">
        <f t="shared" si="20"/>
        <v>2024</v>
      </c>
      <c r="O692" t="str">
        <f t="shared" si="21"/>
        <v>August</v>
      </c>
    </row>
    <row r="693" spans="1:15" x14ac:dyDescent="0.2">
      <c r="A693" t="s">
        <v>802</v>
      </c>
      <c r="B693" s="7">
        <v>45299</v>
      </c>
      <c r="C693" t="s">
        <v>22</v>
      </c>
      <c r="D693" t="s">
        <v>15</v>
      </c>
      <c r="E693" t="s">
        <v>16</v>
      </c>
      <c r="F693" t="s">
        <v>204</v>
      </c>
      <c r="G693" t="s">
        <v>18</v>
      </c>
      <c r="H693" t="s">
        <v>70</v>
      </c>
      <c r="I693" s="3">
        <v>471.2</v>
      </c>
      <c r="J693">
        <v>1</v>
      </c>
      <c r="K693" s="5">
        <v>0.05</v>
      </c>
      <c r="L693" s="3">
        <v>81.03</v>
      </c>
      <c r="M693" t="s">
        <v>35</v>
      </c>
      <c r="N693">
        <f t="shared" si="20"/>
        <v>2024</v>
      </c>
      <c r="O693" t="str">
        <f t="shared" si="21"/>
        <v>January</v>
      </c>
    </row>
    <row r="694" spans="1:15" x14ac:dyDescent="0.2">
      <c r="A694" t="s">
        <v>803</v>
      </c>
      <c r="B694" s="7">
        <v>45661</v>
      </c>
      <c r="C694" t="s">
        <v>22</v>
      </c>
      <c r="D694" t="s">
        <v>15</v>
      </c>
      <c r="E694" t="s">
        <v>65</v>
      </c>
      <c r="F694" t="s">
        <v>66</v>
      </c>
      <c r="G694" t="s">
        <v>58</v>
      </c>
      <c r="H694" t="s">
        <v>59</v>
      </c>
      <c r="I694" s="3">
        <v>9481.5</v>
      </c>
      <c r="J694">
        <v>7</v>
      </c>
      <c r="K694" s="5">
        <v>0.1</v>
      </c>
      <c r="L694" s="3">
        <v>2070.4699999999998</v>
      </c>
      <c r="M694" t="s">
        <v>49</v>
      </c>
      <c r="N694">
        <f t="shared" si="20"/>
        <v>2025</v>
      </c>
      <c r="O694" t="str">
        <f t="shared" si="21"/>
        <v>January</v>
      </c>
    </row>
    <row r="695" spans="1:15" x14ac:dyDescent="0.2">
      <c r="A695" t="s">
        <v>804</v>
      </c>
      <c r="B695" s="7">
        <v>45835</v>
      </c>
      <c r="C695" t="s">
        <v>68</v>
      </c>
      <c r="D695" t="s">
        <v>15</v>
      </c>
      <c r="E695" t="s">
        <v>16</v>
      </c>
      <c r="F695" t="s">
        <v>17</v>
      </c>
      <c r="G695" t="s">
        <v>42</v>
      </c>
      <c r="H695" t="s">
        <v>119</v>
      </c>
      <c r="I695" s="3">
        <v>668</v>
      </c>
      <c r="J695">
        <v>1</v>
      </c>
      <c r="K695" s="5">
        <v>0</v>
      </c>
      <c r="L695" s="3">
        <v>133.86000000000001</v>
      </c>
      <c r="M695" t="s">
        <v>40</v>
      </c>
      <c r="N695">
        <f t="shared" si="20"/>
        <v>2025</v>
      </c>
      <c r="O695" t="str">
        <f t="shared" si="21"/>
        <v>June</v>
      </c>
    </row>
    <row r="696" spans="1:15" x14ac:dyDescent="0.2">
      <c r="A696" t="s">
        <v>805</v>
      </c>
      <c r="B696" s="7">
        <v>45625</v>
      </c>
      <c r="C696" t="s">
        <v>29</v>
      </c>
      <c r="D696" t="s">
        <v>30</v>
      </c>
      <c r="E696" t="s">
        <v>122</v>
      </c>
      <c r="F696" t="s">
        <v>123</v>
      </c>
      <c r="G696" t="s">
        <v>58</v>
      </c>
      <c r="H696" t="s">
        <v>59</v>
      </c>
      <c r="I696" s="3">
        <v>40885.199999999997</v>
      </c>
      <c r="J696">
        <v>4</v>
      </c>
      <c r="K696" s="5">
        <v>0.1</v>
      </c>
      <c r="L696" s="3">
        <v>9390.7900000000009</v>
      </c>
      <c r="M696" t="s">
        <v>40</v>
      </c>
      <c r="N696">
        <f t="shared" si="20"/>
        <v>2024</v>
      </c>
      <c r="O696" t="str">
        <f t="shared" si="21"/>
        <v>November</v>
      </c>
    </row>
    <row r="697" spans="1:15" x14ac:dyDescent="0.2">
      <c r="A697" t="s">
        <v>806</v>
      </c>
      <c r="B697" s="7">
        <v>45491</v>
      </c>
      <c r="C697" t="s">
        <v>55</v>
      </c>
      <c r="D697" t="s">
        <v>15</v>
      </c>
      <c r="E697" t="s">
        <v>61</v>
      </c>
      <c r="F697" t="s">
        <v>62</v>
      </c>
      <c r="G697" t="s">
        <v>58</v>
      </c>
      <c r="H697" t="s">
        <v>95</v>
      </c>
      <c r="I697" s="3">
        <v>3040.45</v>
      </c>
      <c r="J697">
        <v>7</v>
      </c>
      <c r="K697" s="5">
        <v>0.15</v>
      </c>
      <c r="L697" s="3">
        <v>307.91000000000003</v>
      </c>
      <c r="M697" t="s">
        <v>35</v>
      </c>
      <c r="N697">
        <f t="shared" si="20"/>
        <v>2024</v>
      </c>
      <c r="O697" t="str">
        <f t="shared" si="21"/>
        <v>July</v>
      </c>
    </row>
    <row r="698" spans="1:15" x14ac:dyDescent="0.2">
      <c r="A698" t="s">
        <v>807</v>
      </c>
      <c r="B698" s="7">
        <v>45785</v>
      </c>
      <c r="C698" t="s">
        <v>51</v>
      </c>
      <c r="D698" t="s">
        <v>15</v>
      </c>
      <c r="E698" t="s">
        <v>56</v>
      </c>
      <c r="F698" t="s">
        <v>57</v>
      </c>
      <c r="G698" t="s">
        <v>18</v>
      </c>
      <c r="H698" t="s">
        <v>26</v>
      </c>
      <c r="I698" s="3">
        <v>1339.6</v>
      </c>
      <c r="J698">
        <v>2</v>
      </c>
      <c r="K698" s="5">
        <v>0.15</v>
      </c>
      <c r="L698" s="3">
        <v>312.81</v>
      </c>
      <c r="M698" t="s">
        <v>40</v>
      </c>
      <c r="N698">
        <f t="shared" si="20"/>
        <v>2025</v>
      </c>
      <c r="O698" t="str">
        <f t="shared" si="21"/>
        <v>May</v>
      </c>
    </row>
    <row r="699" spans="1:15" x14ac:dyDescent="0.2">
      <c r="A699" t="s">
        <v>808</v>
      </c>
      <c r="B699" s="7">
        <v>45579</v>
      </c>
      <c r="C699" t="s">
        <v>76</v>
      </c>
      <c r="D699" t="s">
        <v>23</v>
      </c>
      <c r="E699" t="s">
        <v>24</v>
      </c>
      <c r="F699" t="s">
        <v>77</v>
      </c>
      <c r="G699" t="s">
        <v>33</v>
      </c>
      <c r="H699" t="s">
        <v>128</v>
      </c>
      <c r="I699" s="3">
        <v>303080.40000000002</v>
      </c>
      <c r="J699">
        <v>7</v>
      </c>
      <c r="K699" s="5">
        <v>0.1</v>
      </c>
      <c r="L699" s="3">
        <v>71384.44</v>
      </c>
      <c r="M699" t="s">
        <v>27</v>
      </c>
      <c r="N699">
        <f t="shared" si="20"/>
        <v>2024</v>
      </c>
      <c r="O699" t="str">
        <f t="shared" si="21"/>
        <v>October</v>
      </c>
    </row>
    <row r="700" spans="1:15" x14ac:dyDescent="0.2">
      <c r="A700" t="s">
        <v>809</v>
      </c>
      <c r="B700" s="7">
        <v>45907</v>
      </c>
      <c r="C700" t="s">
        <v>37</v>
      </c>
      <c r="D700" t="s">
        <v>15</v>
      </c>
      <c r="E700" t="s">
        <v>61</v>
      </c>
      <c r="F700" t="s">
        <v>144</v>
      </c>
      <c r="G700" t="s">
        <v>18</v>
      </c>
      <c r="H700" t="s">
        <v>26</v>
      </c>
      <c r="I700" s="3">
        <v>6502.4</v>
      </c>
      <c r="J700">
        <v>8</v>
      </c>
      <c r="K700" s="5">
        <v>0.2</v>
      </c>
      <c r="L700" s="3">
        <v>1191.68</v>
      </c>
      <c r="M700" t="s">
        <v>27</v>
      </c>
      <c r="N700">
        <f t="shared" si="20"/>
        <v>2025</v>
      </c>
      <c r="O700" t="str">
        <f t="shared" si="21"/>
        <v>September</v>
      </c>
    </row>
    <row r="701" spans="1:15" x14ac:dyDescent="0.2">
      <c r="A701" t="s">
        <v>810</v>
      </c>
      <c r="B701" s="7">
        <v>45898</v>
      </c>
      <c r="C701" t="s">
        <v>76</v>
      </c>
      <c r="D701" t="s">
        <v>30</v>
      </c>
      <c r="E701" t="s">
        <v>122</v>
      </c>
      <c r="F701" t="s">
        <v>131</v>
      </c>
      <c r="G701" t="s">
        <v>58</v>
      </c>
      <c r="H701" t="s">
        <v>74</v>
      </c>
      <c r="I701" s="3">
        <v>51670</v>
      </c>
      <c r="J701">
        <v>5</v>
      </c>
      <c r="K701" s="5">
        <v>0</v>
      </c>
      <c r="L701" s="3">
        <v>5054.7700000000004</v>
      </c>
      <c r="M701" t="s">
        <v>20</v>
      </c>
      <c r="N701">
        <f t="shared" si="20"/>
        <v>2025</v>
      </c>
      <c r="O701" t="str">
        <f t="shared" si="21"/>
        <v>August</v>
      </c>
    </row>
    <row r="702" spans="1:15" x14ac:dyDescent="0.2">
      <c r="A702" t="s">
        <v>811</v>
      </c>
      <c r="B702" s="7">
        <v>45725</v>
      </c>
      <c r="C702" t="s">
        <v>45</v>
      </c>
      <c r="D702" t="s">
        <v>15</v>
      </c>
      <c r="E702" t="s">
        <v>65</v>
      </c>
      <c r="F702" t="s">
        <v>66</v>
      </c>
      <c r="G702" t="s">
        <v>33</v>
      </c>
      <c r="H702" t="s">
        <v>34</v>
      </c>
      <c r="I702" s="3">
        <v>2178.35</v>
      </c>
      <c r="J702">
        <v>1</v>
      </c>
      <c r="K702" s="5">
        <v>0.05</v>
      </c>
      <c r="L702" s="3">
        <v>516.1</v>
      </c>
      <c r="M702" t="s">
        <v>27</v>
      </c>
      <c r="N702">
        <f t="shared" si="20"/>
        <v>2025</v>
      </c>
      <c r="O702" t="str">
        <f t="shared" si="21"/>
        <v>March</v>
      </c>
    </row>
    <row r="703" spans="1:15" x14ac:dyDescent="0.2">
      <c r="A703" t="s">
        <v>812</v>
      </c>
      <c r="B703" s="7">
        <v>45595</v>
      </c>
      <c r="C703" t="s">
        <v>76</v>
      </c>
      <c r="D703" t="s">
        <v>15</v>
      </c>
      <c r="E703" t="s">
        <v>46</v>
      </c>
      <c r="F703" t="s">
        <v>47</v>
      </c>
      <c r="G703" t="s">
        <v>33</v>
      </c>
      <c r="H703" t="s">
        <v>128</v>
      </c>
      <c r="I703" s="3">
        <v>1324.3</v>
      </c>
      <c r="J703">
        <v>1</v>
      </c>
      <c r="K703" s="5">
        <v>0.05</v>
      </c>
      <c r="L703" s="3">
        <v>305.56</v>
      </c>
      <c r="M703" t="s">
        <v>49</v>
      </c>
      <c r="N703">
        <f t="shared" si="20"/>
        <v>2024</v>
      </c>
      <c r="O703" t="str">
        <f t="shared" si="21"/>
        <v>October</v>
      </c>
    </row>
    <row r="704" spans="1:15" x14ac:dyDescent="0.2">
      <c r="A704" t="s">
        <v>813</v>
      </c>
      <c r="B704" s="7">
        <v>45418</v>
      </c>
      <c r="C704" t="s">
        <v>68</v>
      </c>
      <c r="D704" t="s">
        <v>15</v>
      </c>
      <c r="E704" t="s">
        <v>61</v>
      </c>
      <c r="F704" t="s">
        <v>111</v>
      </c>
      <c r="G704" t="s">
        <v>33</v>
      </c>
      <c r="H704" t="s">
        <v>34</v>
      </c>
      <c r="I704" s="3">
        <v>1092</v>
      </c>
      <c r="J704">
        <v>1</v>
      </c>
      <c r="K704" s="5">
        <v>0.2</v>
      </c>
      <c r="L704" s="3">
        <v>249.05</v>
      </c>
      <c r="M704" t="s">
        <v>35</v>
      </c>
      <c r="N704">
        <f t="shared" si="20"/>
        <v>2024</v>
      </c>
      <c r="O704" t="str">
        <f t="shared" si="21"/>
        <v>May</v>
      </c>
    </row>
    <row r="705" spans="1:15" x14ac:dyDescent="0.2">
      <c r="A705" t="s">
        <v>814</v>
      </c>
      <c r="B705" s="7">
        <v>45522</v>
      </c>
      <c r="C705" t="s">
        <v>14</v>
      </c>
      <c r="D705" t="s">
        <v>30</v>
      </c>
      <c r="E705" t="s">
        <v>31</v>
      </c>
      <c r="F705" t="s">
        <v>188</v>
      </c>
      <c r="G705" t="s">
        <v>58</v>
      </c>
      <c r="H705" t="s">
        <v>84</v>
      </c>
      <c r="I705" s="3">
        <v>77911.399999999994</v>
      </c>
      <c r="J705">
        <v>7</v>
      </c>
      <c r="K705" s="5">
        <v>0.05</v>
      </c>
      <c r="L705" s="3">
        <v>18473.88</v>
      </c>
      <c r="M705" t="s">
        <v>40</v>
      </c>
      <c r="N705">
        <f t="shared" si="20"/>
        <v>2024</v>
      </c>
      <c r="O705" t="str">
        <f t="shared" si="21"/>
        <v>August</v>
      </c>
    </row>
    <row r="706" spans="1:15" x14ac:dyDescent="0.2">
      <c r="A706" t="s">
        <v>815</v>
      </c>
      <c r="B706" s="7">
        <v>45692</v>
      </c>
      <c r="C706" t="s">
        <v>37</v>
      </c>
      <c r="D706" t="s">
        <v>30</v>
      </c>
      <c r="E706" t="s">
        <v>122</v>
      </c>
      <c r="F706" t="s">
        <v>131</v>
      </c>
      <c r="G706" t="s">
        <v>42</v>
      </c>
      <c r="H706" t="s">
        <v>98</v>
      </c>
      <c r="I706" s="3">
        <v>92244.6</v>
      </c>
      <c r="J706">
        <v>7</v>
      </c>
      <c r="K706" s="5">
        <v>0.1</v>
      </c>
      <c r="L706" s="3">
        <v>19052.46</v>
      </c>
      <c r="M706" t="s">
        <v>35</v>
      </c>
      <c r="N706">
        <f t="shared" ref="N706:N769" si="22">YEAR(B706)</f>
        <v>2025</v>
      </c>
      <c r="O706" t="str">
        <f t="shared" ref="O706:O769" si="23">TEXT(B706,"mmmm")</f>
        <v>February</v>
      </c>
    </row>
    <row r="707" spans="1:15" x14ac:dyDescent="0.2">
      <c r="A707" t="s">
        <v>816</v>
      </c>
      <c r="B707" s="7">
        <v>45347</v>
      </c>
      <c r="C707" t="s">
        <v>68</v>
      </c>
      <c r="D707" t="s">
        <v>15</v>
      </c>
      <c r="E707" t="s">
        <v>65</v>
      </c>
      <c r="F707" t="s">
        <v>222</v>
      </c>
      <c r="G707" t="s">
        <v>42</v>
      </c>
      <c r="H707" t="s">
        <v>98</v>
      </c>
      <c r="I707" s="3">
        <v>7974.4</v>
      </c>
      <c r="J707">
        <v>7</v>
      </c>
      <c r="K707" s="5">
        <v>0.2</v>
      </c>
      <c r="L707" s="3">
        <v>1620.17</v>
      </c>
      <c r="M707" t="s">
        <v>49</v>
      </c>
      <c r="N707">
        <f t="shared" si="22"/>
        <v>2024</v>
      </c>
      <c r="O707" t="str">
        <f t="shared" si="23"/>
        <v>February</v>
      </c>
    </row>
    <row r="708" spans="1:15" x14ac:dyDescent="0.2">
      <c r="A708" t="s">
        <v>817</v>
      </c>
      <c r="B708" s="7">
        <v>45492</v>
      </c>
      <c r="C708" t="s">
        <v>14</v>
      </c>
      <c r="D708" t="s">
        <v>15</v>
      </c>
      <c r="E708" t="s">
        <v>46</v>
      </c>
      <c r="F708" t="s">
        <v>116</v>
      </c>
      <c r="G708" t="s">
        <v>33</v>
      </c>
      <c r="H708" t="s">
        <v>109</v>
      </c>
      <c r="I708" s="3">
        <v>7288.4</v>
      </c>
      <c r="J708">
        <v>8</v>
      </c>
      <c r="K708" s="5">
        <v>0.05</v>
      </c>
      <c r="L708" s="3">
        <v>1664.46</v>
      </c>
      <c r="M708" t="s">
        <v>27</v>
      </c>
      <c r="N708">
        <f t="shared" si="22"/>
        <v>2024</v>
      </c>
      <c r="O708" t="str">
        <f t="shared" si="23"/>
        <v>July</v>
      </c>
    </row>
    <row r="709" spans="1:15" x14ac:dyDescent="0.2">
      <c r="A709" t="s">
        <v>818</v>
      </c>
      <c r="B709" s="7">
        <v>45777</v>
      </c>
      <c r="C709" t="s">
        <v>55</v>
      </c>
      <c r="D709" t="s">
        <v>15</v>
      </c>
      <c r="E709" t="s">
        <v>56</v>
      </c>
      <c r="F709" t="s">
        <v>57</v>
      </c>
      <c r="G709" t="s">
        <v>18</v>
      </c>
      <c r="H709" t="s">
        <v>26</v>
      </c>
      <c r="I709" s="3">
        <v>2310</v>
      </c>
      <c r="J709">
        <v>7</v>
      </c>
      <c r="K709" s="5">
        <v>0</v>
      </c>
      <c r="L709" s="3">
        <v>349.08</v>
      </c>
      <c r="M709" t="s">
        <v>20</v>
      </c>
      <c r="N709">
        <f t="shared" si="22"/>
        <v>2025</v>
      </c>
      <c r="O709" t="str">
        <f t="shared" si="23"/>
        <v>April</v>
      </c>
    </row>
    <row r="710" spans="1:15" x14ac:dyDescent="0.2">
      <c r="A710" t="s">
        <v>819</v>
      </c>
      <c r="B710" s="7">
        <v>45601</v>
      </c>
      <c r="C710" t="s">
        <v>90</v>
      </c>
      <c r="D710" t="s">
        <v>23</v>
      </c>
      <c r="E710" t="s">
        <v>172</v>
      </c>
      <c r="F710" t="s">
        <v>182</v>
      </c>
      <c r="G710" t="s">
        <v>42</v>
      </c>
      <c r="H710" t="s">
        <v>43</v>
      </c>
      <c r="I710" s="3">
        <v>114752.4</v>
      </c>
      <c r="J710">
        <v>7</v>
      </c>
      <c r="K710" s="5">
        <v>0.05</v>
      </c>
      <c r="L710" s="3">
        <v>16848.98</v>
      </c>
      <c r="M710" t="s">
        <v>40</v>
      </c>
      <c r="N710">
        <f t="shared" si="22"/>
        <v>2024</v>
      </c>
      <c r="O710" t="str">
        <f t="shared" si="23"/>
        <v>November</v>
      </c>
    </row>
    <row r="711" spans="1:15" x14ac:dyDescent="0.2">
      <c r="A711" t="s">
        <v>820</v>
      </c>
      <c r="B711" s="7">
        <v>45376</v>
      </c>
      <c r="C711" t="s">
        <v>37</v>
      </c>
      <c r="D711" t="s">
        <v>15</v>
      </c>
      <c r="E711" t="s">
        <v>61</v>
      </c>
      <c r="F711" t="s">
        <v>144</v>
      </c>
      <c r="G711" t="s">
        <v>18</v>
      </c>
      <c r="H711" t="s">
        <v>63</v>
      </c>
      <c r="I711" s="3">
        <v>11228</v>
      </c>
      <c r="J711">
        <v>7</v>
      </c>
      <c r="K711" s="5">
        <v>0</v>
      </c>
      <c r="L711" s="3">
        <v>1167.71</v>
      </c>
      <c r="M711" t="s">
        <v>49</v>
      </c>
      <c r="N711">
        <f t="shared" si="22"/>
        <v>2024</v>
      </c>
      <c r="O711" t="str">
        <f t="shared" si="23"/>
        <v>March</v>
      </c>
    </row>
    <row r="712" spans="1:15" x14ac:dyDescent="0.2">
      <c r="A712" t="s">
        <v>821</v>
      </c>
      <c r="B712" s="7">
        <v>45952</v>
      </c>
      <c r="C712" t="s">
        <v>22</v>
      </c>
      <c r="D712" t="s">
        <v>15</v>
      </c>
      <c r="E712" t="s">
        <v>56</v>
      </c>
      <c r="F712" t="s">
        <v>100</v>
      </c>
      <c r="G712" t="s">
        <v>33</v>
      </c>
      <c r="H712" t="s">
        <v>128</v>
      </c>
      <c r="I712" s="3">
        <v>5718.8</v>
      </c>
      <c r="J712">
        <v>8</v>
      </c>
      <c r="K712" s="5">
        <v>0.15</v>
      </c>
      <c r="L712" s="3">
        <v>796.85</v>
      </c>
      <c r="M712" t="s">
        <v>27</v>
      </c>
      <c r="N712">
        <f t="shared" si="22"/>
        <v>2025</v>
      </c>
      <c r="O712" t="str">
        <f t="shared" si="23"/>
        <v>October</v>
      </c>
    </row>
    <row r="713" spans="1:15" x14ac:dyDescent="0.2">
      <c r="A713" t="s">
        <v>822</v>
      </c>
      <c r="B713" s="7">
        <v>45834</v>
      </c>
      <c r="C713" t="s">
        <v>29</v>
      </c>
      <c r="D713" t="s">
        <v>15</v>
      </c>
      <c r="E713" t="s">
        <v>46</v>
      </c>
      <c r="F713" t="s">
        <v>176</v>
      </c>
      <c r="G713" t="s">
        <v>18</v>
      </c>
      <c r="H713" t="s">
        <v>19</v>
      </c>
      <c r="I713" s="3">
        <v>4108.8</v>
      </c>
      <c r="J713">
        <v>3</v>
      </c>
      <c r="K713" s="5">
        <v>0.2</v>
      </c>
      <c r="L713" s="3">
        <v>795.02</v>
      </c>
      <c r="M713" t="s">
        <v>20</v>
      </c>
      <c r="N713">
        <f t="shared" si="22"/>
        <v>2025</v>
      </c>
      <c r="O713" t="str">
        <f t="shared" si="23"/>
        <v>June</v>
      </c>
    </row>
    <row r="714" spans="1:15" x14ac:dyDescent="0.2">
      <c r="A714" t="s">
        <v>823</v>
      </c>
      <c r="B714" s="7">
        <v>45613</v>
      </c>
      <c r="C714" t="s">
        <v>37</v>
      </c>
      <c r="D714" t="s">
        <v>15</v>
      </c>
      <c r="E714" t="s">
        <v>56</v>
      </c>
      <c r="F714" t="s">
        <v>100</v>
      </c>
      <c r="G714" t="s">
        <v>18</v>
      </c>
      <c r="H714" t="s">
        <v>26</v>
      </c>
      <c r="I714" s="3">
        <v>193.6</v>
      </c>
      <c r="J714">
        <v>2</v>
      </c>
      <c r="K714" s="5">
        <v>0.2</v>
      </c>
      <c r="L714" s="3">
        <v>23.12</v>
      </c>
      <c r="M714" t="s">
        <v>20</v>
      </c>
      <c r="N714">
        <f t="shared" si="22"/>
        <v>2024</v>
      </c>
      <c r="O714" t="str">
        <f t="shared" si="23"/>
        <v>November</v>
      </c>
    </row>
    <row r="715" spans="1:15" x14ac:dyDescent="0.2">
      <c r="A715" t="s">
        <v>824</v>
      </c>
      <c r="B715" s="7">
        <v>45664</v>
      </c>
      <c r="C715" t="s">
        <v>51</v>
      </c>
      <c r="D715" t="s">
        <v>23</v>
      </c>
      <c r="E715" t="s">
        <v>172</v>
      </c>
      <c r="F715" t="s">
        <v>182</v>
      </c>
      <c r="G715" t="s">
        <v>33</v>
      </c>
      <c r="H715" t="s">
        <v>48</v>
      </c>
      <c r="I715" s="3">
        <v>285000</v>
      </c>
      <c r="J715">
        <v>5</v>
      </c>
      <c r="K715" s="5">
        <v>0</v>
      </c>
      <c r="L715" s="3">
        <v>51650.45</v>
      </c>
      <c r="M715" t="s">
        <v>40</v>
      </c>
      <c r="N715">
        <f t="shared" si="22"/>
        <v>2025</v>
      </c>
      <c r="O715" t="str">
        <f t="shared" si="23"/>
        <v>January</v>
      </c>
    </row>
    <row r="716" spans="1:15" x14ac:dyDescent="0.2">
      <c r="A716" t="s">
        <v>825</v>
      </c>
      <c r="B716" s="7">
        <v>45612</v>
      </c>
      <c r="C716" t="s">
        <v>51</v>
      </c>
      <c r="D716" t="s">
        <v>30</v>
      </c>
      <c r="E716" t="s">
        <v>52</v>
      </c>
      <c r="F716" t="s">
        <v>53</v>
      </c>
      <c r="G716" t="s">
        <v>33</v>
      </c>
      <c r="H716" t="s">
        <v>34</v>
      </c>
      <c r="I716" s="3">
        <v>61516</v>
      </c>
      <c r="J716">
        <v>5</v>
      </c>
      <c r="K716" s="5">
        <v>0.2</v>
      </c>
      <c r="L716" s="3">
        <v>7879.5</v>
      </c>
      <c r="M716" t="s">
        <v>27</v>
      </c>
      <c r="N716">
        <f t="shared" si="22"/>
        <v>2024</v>
      </c>
      <c r="O716" t="str">
        <f t="shared" si="23"/>
        <v>November</v>
      </c>
    </row>
    <row r="717" spans="1:15" x14ac:dyDescent="0.2">
      <c r="A717" t="s">
        <v>826</v>
      </c>
      <c r="B717" s="7">
        <v>45512</v>
      </c>
      <c r="C717" t="s">
        <v>55</v>
      </c>
      <c r="D717" t="s">
        <v>15</v>
      </c>
      <c r="E717" t="s">
        <v>56</v>
      </c>
      <c r="F717" t="s">
        <v>100</v>
      </c>
      <c r="G717" t="s">
        <v>33</v>
      </c>
      <c r="H717" t="s">
        <v>128</v>
      </c>
      <c r="I717" s="3">
        <v>826.5</v>
      </c>
      <c r="J717">
        <v>1</v>
      </c>
      <c r="K717" s="5">
        <v>0.05</v>
      </c>
      <c r="L717" s="3">
        <v>105.33</v>
      </c>
      <c r="M717" t="s">
        <v>35</v>
      </c>
      <c r="N717">
        <f t="shared" si="22"/>
        <v>2024</v>
      </c>
      <c r="O717" t="str">
        <f t="shared" si="23"/>
        <v>August</v>
      </c>
    </row>
    <row r="718" spans="1:15" x14ac:dyDescent="0.2">
      <c r="A718" t="s">
        <v>827</v>
      </c>
      <c r="B718" s="7">
        <v>45459</v>
      </c>
      <c r="C718" t="s">
        <v>22</v>
      </c>
      <c r="D718" t="s">
        <v>15</v>
      </c>
      <c r="E718" t="s">
        <v>46</v>
      </c>
      <c r="F718" t="s">
        <v>176</v>
      </c>
      <c r="G718" t="s">
        <v>42</v>
      </c>
      <c r="H718" t="s">
        <v>119</v>
      </c>
      <c r="I718" s="3">
        <v>6943.65</v>
      </c>
      <c r="J718">
        <v>7</v>
      </c>
      <c r="K718" s="5">
        <v>0.15</v>
      </c>
      <c r="L718" s="3">
        <v>1197.46</v>
      </c>
      <c r="M718" t="s">
        <v>49</v>
      </c>
      <c r="N718">
        <f t="shared" si="22"/>
        <v>2024</v>
      </c>
      <c r="O718" t="str">
        <f t="shared" si="23"/>
        <v>June</v>
      </c>
    </row>
    <row r="719" spans="1:15" x14ac:dyDescent="0.2">
      <c r="A719" t="s">
        <v>828</v>
      </c>
      <c r="B719" s="7">
        <v>45955</v>
      </c>
      <c r="C719" t="s">
        <v>51</v>
      </c>
      <c r="D719" t="s">
        <v>23</v>
      </c>
      <c r="E719" t="s">
        <v>79</v>
      </c>
      <c r="F719" t="s">
        <v>93</v>
      </c>
      <c r="G719" t="s">
        <v>58</v>
      </c>
      <c r="H719" t="s">
        <v>74</v>
      </c>
      <c r="I719" s="3">
        <v>20966.400000000001</v>
      </c>
      <c r="J719">
        <v>4</v>
      </c>
      <c r="K719" s="5">
        <v>0.1</v>
      </c>
      <c r="L719" s="3">
        <v>3516.66</v>
      </c>
      <c r="M719" t="s">
        <v>35</v>
      </c>
      <c r="N719">
        <f t="shared" si="22"/>
        <v>2025</v>
      </c>
      <c r="O719" t="str">
        <f t="shared" si="23"/>
        <v>October</v>
      </c>
    </row>
    <row r="720" spans="1:15" x14ac:dyDescent="0.2">
      <c r="A720" t="s">
        <v>829</v>
      </c>
      <c r="B720" s="7">
        <v>45404</v>
      </c>
      <c r="C720" t="s">
        <v>51</v>
      </c>
      <c r="D720" t="s">
        <v>23</v>
      </c>
      <c r="E720" t="s">
        <v>38</v>
      </c>
      <c r="F720" t="s">
        <v>91</v>
      </c>
      <c r="G720" t="s">
        <v>33</v>
      </c>
      <c r="H720" t="s">
        <v>34</v>
      </c>
      <c r="I720" s="3">
        <v>18257.400000000001</v>
      </c>
      <c r="J720">
        <v>7</v>
      </c>
      <c r="K720" s="5">
        <v>0.1</v>
      </c>
      <c r="L720" s="3">
        <v>1459.21</v>
      </c>
      <c r="M720" t="s">
        <v>49</v>
      </c>
      <c r="N720">
        <f t="shared" si="22"/>
        <v>2024</v>
      </c>
      <c r="O720" t="str">
        <f t="shared" si="23"/>
        <v>April</v>
      </c>
    </row>
    <row r="721" spans="1:15" x14ac:dyDescent="0.2">
      <c r="A721" t="s">
        <v>830</v>
      </c>
      <c r="B721" s="7">
        <v>45519</v>
      </c>
      <c r="C721" t="s">
        <v>22</v>
      </c>
      <c r="D721" t="s">
        <v>23</v>
      </c>
      <c r="E721" t="s">
        <v>79</v>
      </c>
      <c r="F721" t="s">
        <v>80</v>
      </c>
      <c r="G721" t="s">
        <v>18</v>
      </c>
      <c r="H721" t="s">
        <v>19</v>
      </c>
      <c r="I721" s="3">
        <v>53945</v>
      </c>
      <c r="J721">
        <v>5</v>
      </c>
      <c r="K721" s="5">
        <v>0</v>
      </c>
      <c r="L721" s="3">
        <v>5372.35</v>
      </c>
      <c r="M721" t="s">
        <v>20</v>
      </c>
      <c r="N721">
        <f t="shared" si="22"/>
        <v>2024</v>
      </c>
      <c r="O721" t="str">
        <f t="shared" si="23"/>
        <v>August</v>
      </c>
    </row>
    <row r="722" spans="1:15" x14ac:dyDescent="0.2">
      <c r="A722" t="s">
        <v>831</v>
      </c>
      <c r="B722" s="7">
        <v>45341</v>
      </c>
      <c r="C722" t="s">
        <v>55</v>
      </c>
      <c r="D722" t="s">
        <v>23</v>
      </c>
      <c r="E722" t="s">
        <v>24</v>
      </c>
      <c r="F722" t="s">
        <v>77</v>
      </c>
      <c r="G722" t="s">
        <v>42</v>
      </c>
      <c r="H722" t="s">
        <v>43</v>
      </c>
      <c r="I722" s="3">
        <v>254367</v>
      </c>
      <c r="J722">
        <v>6</v>
      </c>
      <c r="K722" s="5">
        <v>0.1</v>
      </c>
      <c r="L722" s="3">
        <v>44894.09</v>
      </c>
      <c r="M722" t="s">
        <v>27</v>
      </c>
      <c r="N722">
        <f t="shared" si="22"/>
        <v>2024</v>
      </c>
      <c r="O722" t="str">
        <f t="shared" si="23"/>
        <v>February</v>
      </c>
    </row>
    <row r="723" spans="1:15" x14ac:dyDescent="0.2">
      <c r="A723" t="s">
        <v>832</v>
      </c>
      <c r="B723" s="7">
        <v>45438</v>
      </c>
      <c r="C723" t="s">
        <v>22</v>
      </c>
      <c r="D723" t="s">
        <v>30</v>
      </c>
      <c r="E723" t="s">
        <v>31</v>
      </c>
      <c r="F723" t="s">
        <v>97</v>
      </c>
      <c r="G723" t="s">
        <v>42</v>
      </c>
      <c r="H723" t="s">
        <v>43</v>
      </c>
      <c r="I723" s="3">
        <v>3166.35</v>
      </c>
      <c r="J723">
        <v>3</v>
      </c>
      <c r="K723" s="5">
        <v>0.05</v>
      </c>
      <c r="L723" s="3">
        <v>630.14</v>
      </c>
      <c r="M723" t="s">
        <v>35</v>
      </c>
      <c r="N723">
        <f t="shared" si="22"/>
        <v>2024</v>
      </c>
      <c r="O723" t="str">
        <f t="shared" si="23"/>
        <v>May</v>
      </c>
    </row>
    <row r="724" spans="1:15" x14ac:dyDescent="0.2">
      <c r="A724" t="s">
        <v>833</v>
      </c>
      <c r="B724" s="7">
        <v>45654</v>
      </c>
      <c r="C724" t="s">
        <v>29</v>
      </c>
      <c r="D724" t="s">
        <v>15</v>
      </c>
      <c r="E724" t="s">
        <v>65</v>
      </c>
      <c r="F724" t="s">
        <v>222</v>
      </c>
      <c r="G724" t="s">
        <v>18</v>
      </c>
      <c r="H724" t="s">
        <v>19</v>
      </c>
      <c r="I724" s="3">
        <v>7505</v>
      </c>
      <c r="J724">
        <v>4</v>
      </c>
      <c r="K724" s="5">
        <v>0.05</v>
      </c>
      <c r="L724" s="3">
        <v>1165.47</v>
      </c>
      <c r="M724" t="s">
        <v>35</v>
      </c>
      <c r="N724">
        <f t="shared" si="22"/>
        <v>2024</v>
      </c>
      <c r="O724" t="str">
        <f t="shared" si="23"/>
        <v>December</v>
      </c>
    </row>
    <row r="725" spans="1:15" x14ac:dyDescent="0.2">
      <c r="A725" t="s">
        <v>834</v>
      </c>
      <c r="B725" s="7">
        <v>45941</v>
      </c>
      <c r="C725" t="s">
        <v>37</v>
      </c>
      <c r="D725" t="s">
        <v>30</v>
      </c>
      <c r="E725" t="s">
        <v>104</v>
      </c>
      <c r="F725" t="s">
        <v>137</v>
      </c>
      <c r="G725" t="s">
        <v>58</v>
      </c>
      <c r="H725" t="s">
        <v>74</v>
      </c>
      <c r="I725" s="3">
        <v>19467</v>
      </c>
      <c r="J725">
        <v>2</v>
      </c>
      <c r="K725" s="5">
        <v>0.1</v>
      </c>
      <c r="L725" s="3">
        <v>4361.5600000000004</v>
      </c>
      <c r="M725" t="s">
        <v>20</v>
      </c>
      <c r="N725">
        <f t="shared" si="22"/>
        <v>2025</v>
      </c>
      <c r="O725" t="str">
        <f t="shared" si="23"/>
        <v>October</v>
      </c>
    </row>
    <row r="726" spans="1:15" x14ac:dyDescent="0.2">
      <c r="A726" t="s">
        <v>835</v>
      </c>
      <c r="B726" s="7">
        <v>45302</v>
      </c>
      <c r="C726" t="s">
        <v>22</v>
      </c>
      <c r="D726" t="s">
        <v>15</v>
      </c>
      <c r="E726" t="s">
        <v>46</v>
      </c>
      <c r="F726" t="s">
        <v>116</v>
      </c>
      <c r="G726" t="s">
        <v>18</v>
      </c>
      <c r="H726" t="s">
        <v>26</v>
      </c>
      <c r="I726" s="3">
        <v>2013.65</v>
      </c>
      <c r="J726">
        <v>1</v>
      </c>
      <c r="K726" s="5">
        <v>0.15</v>
      </c>
      <c r="L726" s="3">
        <v>411.13</v>
      </c>
      <c r="M726" t="s">
        <v>35</v>
      </c>
      <c r="N726">
        <f t="shared" si="22"/>
        <v>2024</v>
      </c>
      <c r="O726" t="str">
        <f t="shared" si="23"/>
        <v>January</v>
      </c>
    </row>
    <row r="727" spans="1:15" x14ac:dyDescent="0.2">
      <c r="A727" t="s">
        <v>836</v>
      </c>
      <c r="B727" s="7">
        <v>46011</v>
      </c>
      <c r="C727" t="s">
        <v>51</v>
      </c>
      <c r="D727" t="s">
        <v>15</v>
      </c>
      <c r="E727" t="s">
        <v>46</v>
      </c>
      <c r="F727" t="s">
        <v>116</v>
      </c>
      <c r="G727" t="s">
        <v>58</v>
      </c>
      <c r="H727" t="s">
        <v>59</v>
      </c>
      <c r="I727" s="3">
        <v>1756</v>
      </c>
      <c r="J727">
        <v>2</v>
      </c>
      <c r="K727" s="5">
        <v>0</v>
      </c>
      <c r="L727" s="3">
        <v>391.29</v>
      </c>
      <c r="M727" t="s">
        <v>27</v>
      </c>
      <c r="N727">
        <f t="shared" si="22"/>
        <v>2025</v>
      </c>
      <c r="O727" t="str">
        <f t="shared" si="23"/>
        <v>December</v>
      </c>
    </row>
    <row r="728" spans="1:15" x14ac:dyDescent="0.2">
      <c r="A728" t="s">
        <v>837</v>
      </c>
      <c r="B728" s="7">
        <v>45344</v>
      </c>
      <c r="C728" t="s">
        <v>22</v>
      </c>
      <c r="D728" t="s">
        <v>23</v>
      </c>
      <c r="E728" t="s">
        <v>172</v>
      </c>
      <c r="F728" t="s">
        <v>182</v>
      </c>
      <c r="G728" t="s">
        <v>18</v>
      </c>
      <c r="H728" t="s">
        <v>63</v>
      </c>
      <c r="I728" s="3">
        <v>48092.800000000003</v>
      </c>
      <c r="J728">
        <v>4</v>
      </c>
      <c r="K728" s="5">
        <v>0.05</v>
      </c>
      <c r="L728" s="3">
        <v>8187.17</v>
      </c>
      <c r="M728" t="s">
        <v>49</v>
      </c>
      <c r="N728">
        <f t="shared" si="22"/>
        <v>2024</v>
      </c>
      <c r="O728" t="str">
        <f t="shared" si="23"/>
        <v>February</v>
      </c>
    </row>
    <row r="729" spans="1:15" x14ac:dyDescent="0.2">
      <c r="A729" t="s">
        <v>838</v>
      </c>
      <c r="B729" s="7">
        <v>45563</v>
      </c>
      <c r="C729" t="s">
        <v>76</v>
      </c>
      <c r="D729" t="s">
        <v>30</v>
      </c>
      <c r="E729" t="s">
        <v>31</v>
      </c>
      <c r="F729" t="s">
        <v>97</v>
      </c>
      <c r="G729" t="s">
        <v>42</v>
      </c>
      <c r="H729" t="s">
        <v>102</v>
      </c>
      <c r="I729" s="3">
        <v>16783.2</v>
      </c>
      <c r="J729">
        <v>4</v>
      </c>
      <c r="K729" s="5">
        <v>0.1</v>
      </c>
      <c r="L729" s="3">
        <v>2544.75</v>
      </c>
      <c r="M729" t="s">
        <v>20</v>
      </c>
      <c r="N729">
        <f t="shared" si="22"/>
        <v>2024</v>
      </c>
      <c r="O729" t="str">
        <f t="shared" si="23"/>
        <v>September</v>
      </c>
    </row>
    <row r="730" spans="1:15" x14ac:dyDescent="0.2">
      <c r="A730" t="s">
        <v>839</v>
      </c>
      <c r="B730" s="7">
        <v>45922</v>
      </c>
      <c r="C730" t="s">
        <v>29</v>
      </c>
      <c r="D730" t="s">
        <v>15</v>
      </c>
      <c r="E730" t="s">
        <v>56</v>
      </c>
      <c r="F730" t="s">
        <v>57</v>
      </c>
      <c r="G730" t="s">
        <v>58</v>
      </c>
      <c r="H730" t="s">
        <v>74</v>
      </c>
      <c r="I730" s="3">
        <v>2099</v>
      </c>
      <c r="J730">
        <v>1</v>
      </c>
      <c r="K730" s="5">
        <v>0</v>
      </c>
      <c r="L730" s="3">
        <v>317.26</v>
      </c>
      <c r="M730" t="s">
        <v>27</v>
      </c>
      <c r="N730">
        <f t="shared" si="22"/>
        <v>2025</v>
      </c>
      <c r="O730" t="str">
        <f t="shared" si="23"/>
        <v>September</v>
      </c>
    </row>
    <row r="731" spans="1:15" x14ac:dyDescent="0.2">
      <c r="A731" t="s">
        <v>840</v>
      </c>
      <c r="B731" s="7">
        <v>45494</v>
      </c>
      <c r="C731" t="s">
        <v>37</v>
      </c>
      <c r="D731" t="s">
        <v>30</v>
      </c>
      <c r="E731" t="s">
        <v>104</v>
      </c>
      <c r="F731" t="s">
        <v>137</v>
      </c>
      <c r="G731" t="s">
        <v>18</v>
      </c>
      <c r="H731" t="s">
        <v>70</v>
      </c>
      <c r="I731" s="3">
        <v>37251</v>
      </c>
      <c r="J731">
        <v>3</v>
      </c>
      <c r="K731" s="5">
        <v>0</v>
      </c>
      <c r="L731" s="3">
        <v>6189.65</v>
      </c>
      <c r="M731" t="s">
        <v>35</v>
      </c>
      <c r="N731">
        <f t="shared" si="22"/>
        <v>2024</v>
      </c>
      <c r="O731" t="str">
        <f t="shared" si="23"/>
        <v>July</v>
      </c>
    </row>
    <row r="732" spans="1:15" x14ac:dyDescent="0.2">
      <c r="A732" t="s">
        <v>841</v>
      </c>
      <c r="B732" s="7">
        <v>45598</v>
      </c>
      <c r="C732" t="s">
        <v>45</v>
      </c>
      <c r="D732" t="s">
        <v>15</v>
      </c>
      <c r="E732" t="s">
        <v>46</v>
      </c>
      <c r="F732" t="s">
        <v>47</v>
      </c>
      <c r="G732" t="s">
        <v>58</v>
      </c>
      <c r="H732" t="s">
        <v>95</v>
      </c>
      <c r="I732" s="3">
        <v>872.1</v>
      </c>
      <c r="J732">
        <v>1</v>
      </c>
      <c r="K732" s="5">
        <v>0.15</v>
      </c>
      <c r="L732" s="3">
        <v>106.02</v>
      </c>
      <c r="M732" t="s">
        <v>49</v>
      </c>
      <c r="N732">
        <f t="shared" si="22"/>
        <v>2024</v>
      </c>
      <c r="O732" t="str">
        <f t="shared" si="23"/>
        <v>November</v>
      </c>
    </row>
    <row r="733" spans="1:15" x14ac:dyDescent="0.2">
      <c r="A733" t="s">
        <v>842</v>
      </c>
      <c r="B733" s="7">
        <v>46018</v>
      </c>
      <c r="C733" t="s">
        <v>76</v>
      </c>
      <c r="D733" t="s">
        <v>23</v>
      </c>
      <c r="E733" t="s">
        <v>172</v>
      </c>
      <c r="F733" t="s">
        <v>210</v>
      </c>
      <c r="G733" t="s">
        <v>42</v>
      </c>
      <c r="H733" t="s">
        <v>102</v>
      </c>
      <c r="I733" s="3">
        <v>80274</v>
      </c>
      <c r="J733">
        <v>8</v>
      </c>
      <c r="K733" s="5">
        <v>0.15</v>
      </c>
      <c r="L733" s="3">
        <v>3504.93</v>
      </c>
      <c r="M733" t="s">
        <v>20</v>
      </c>
      <c r="N733">
        <f t="shared" si="22"/>
        <v>2025</v>
      </c>
      <c r="O733" t="str">
        <f t="shared" si="23"/>
        <v>December</v>
      </c>
    </row>
    <row r="734" spans="1:15" x14ac:dyDescent="0.2">
      <c r="A734" t="s">
        <v>843</v>
      </c>
      <c r="B734" s="7">
        <v>45782</v>
      </c>
      <c r="C734" t="s">
        <v>68</v>
      </c>
      <c r="D734" t="s">
        <v>23</v>
      </c>
      <c r="E734" t="s">
        <v>79</v>
      </c>
      <c r="F734" t="s">
        <v>80</v>
      </c>
      <c r="G734" t="s">
        <v>18</v>
      </c>
      <c r="H734" t="s">
        <v>26</v>
      </c>
      <c r="I734" s="3">
        <v>332187.45</v>
      </c>
      <c r="J734">
        <v>7</v>
      </c>
      <c r="K734" s="5">
        <v>0.05</v>
      </c>
      <c r="L734" s="3">
        <v>66683.63</v>
      </c>
      <c r="M734" t="s">
        <v>20</v>
      </c>
      <c r="N734">
        <f t="shared" si="22"/>
        <v>2025</v>
      </c>
      <c r="O734" t="str">
        <f t="shared" si="23"/>
        <v>May</v>
      </c>
    </row>
    <row r="735" spans="1:15" x14ac:dyDescent="0.2">
      <c r="A735" t="s">
        <v>844</v>
      </c>
      <c r="B735" s="7">
        <v>45313</v>
      </c>
      <c r="C735" t="s">
        <v>55</v>
      </c>
      <c r="D735" t="s">
        <v>30</v>
      </c>
      <c r="E735" t="s">
        <v>122</v>
      </c>
      <c r="F735" t="s">
        <v>160</v>
      </c>
      <c r="G735" t="s">
        <v>58</v>
      </c>
      <c r="H735" t="s">
        <v>74</v>
      </c>
      <c r="I735" s="3">
        <v>94787</v>
      </c>
      <c r="J735">
        <v>7</v>
      </c>
      <c r="K735" s="5">
        <v>0</v>
      </c>
      <c r="L735" s="3">
        <v>25738.06</v>
      </c>
      <c r="M735" t="s">
        <v>40</v>
      </c>
      <c r="N735">
        <f t="shared" si="22"/>
        <v>2024</v>
      </c>
      <c r="O735" t="str">
        <f t="shared" si="23"/>
        <v>January</v>
      </c>
    </row>
    <row r="736" spans="1:15" x14ac:dyDescent="0.2">
      <c r="A736" t="s">
        <v>845</v>
      </c>
      <c r="B736" s="7">
        <v>45789</v>
      </c>
      <c r="C736" t="s">
        <v>37</v>
      </c>
      <c r="D736" t="s">
        <v>30</v>
      </c>
      <c r="E736" t="s">
        <v>72</v>
      </c>
      <c r="F736" t="s">
        <v>217</v>
      </c>
      <c r="G736" t="s">
        <v>18</v>
      </c>
      <c r="H736" t="s">
        <v>26</v>
      </c>
      <c r="I736" s="3">
        <v>5421.3</v>
      </c>
      <c r="J736">
        <v>6</v>
      </c>
      <c r="K736" s="5">
        <v>0.15</v>
      </c>
      <c r="L736" s="3">
        <v>544.26</v>
      </c>
      <c r="M736" t="s">
        <v>49</v>
      </c>
      <c r="N736">
        <f t="shared" si="22"/>
        <v>2025</v>
      </c>
      <c r="O736" t="str">
        <f t="shared" si="23"/>
        <v>May</v>
      </c>
    </row>
    <row r="737" spans="1:15" x14ac:dyDescent="0.2">
      <c r="A737" t="s">
        <v>846</v>
      </c>
      <c r="B737" s="7">
        <v>45731</v>
      </c>
      <c r="C737" t="s">
        <v>76</v>
      </c>
      <c r="D737" t="s">
        <v>23</v>
      </c>
      <c r="E737" t="s">
        <v>172</v>
      </c>
      <c r="F737" t="s">
        <v>182</v>
      </c>
      <c r="G737" t="s">
        <v>33</v>
      </c>
      <c r="H737" t="s">
        <v>48</v>
      </c>
      <c r="I737" s="3">
        <v>244378</v>
      </c>
      <c r="J737">
        <v>5</v>
      </c>
      <c r="K737" s="5">
        <v>0.05</v>
      </c>
      <c r="L737" s="3">
        <v>49062.82</v>
      </c>
      <c r="M737" t="s">
        <v>49</v>
      </c>
      <c r="N737">
        <f t="shared" si="22"/>
        <v>2025</v>
      </c>
      <c r="O737" t="str">
        <f t="shared" si="23"/>
        <v>March</v>
      </c>
    </row>
    <row r="738" spans="1:15" x14ac:dyDescent="0.2">
      <c r="A738" t="s">
        <v>847</v>
      </c>
      <c r="B738" s="7">
        <v>45488</v>
      </c>
      <c r="C738" t="s">
        <v>55</v>
      </c>
      <c r="D738" t="s">
        <v>15</v>
      </c>
      <c r="E738" t="s">
        <v>16</v>
      </c>
      <c r="F738" t="s">
        <v>230</v>
      </c>
      <c r="G738" t="s">
        <v>33</v>
      </c>
      <c r="H738" t="s">
        <v>48</v>
      </c>
      <c r="I738" s="3">
        <v>1634.55</v>
      </c>
      <c r="J738">
        <v>3</v>
      </c>
      <c r="K738" s="5">
        <v>0.15</v>
      </c>
      <c r="L738" s="3">
        <v>82.01</v>
      </c>
      <c r="M738" t="s">
        <v>49</v>
      </c>
      <c r="N738">
        <f t="shared" si="22"/>
        <v>2024</v>
      </c>
      <c r="O738" t="str">
        <f t="shared" si="23"/>
        <v>July</v>
      </c>
    </row>
    <row r="739" spans="1:15" x14ac:dyDescent="0.2">
      <c r="A739" t="s">
        <v>848</v>
      </c>
      <c r="B739" s="7">
        <v>45782</v>
      </c>
      <c r="C739" t="s">
        <v>14</v>
      </c>
      <c r="D739" t="s">
        <v>23</v>
      </c>
      <c r="E739" t="s">
        <v>172</v>
      </c>
      <c r="F739" t="s">
        <v>182</v>
      </c>
      <c r="G739" t="s">
        <v>33</v>
      </c>
      <c r="H739" t="s">
        <v>128</v>
      </c>
      <c r="I739" s="3">
        <v>185481.8</v>
      </c>
      <c r="J739">
        <v>7</v>
      </c>
      <c r="K739" s="5">
        <v>0.05</v>
      </c>
      <c r="L739" s="3">
        <v>24991</v>
      </c>
      <c r="M739" t="s">
        <v>35</v>
      </c>
      <c r="N739">
        <f t="shared" si="22"/>
        <v>2025</v>
      </c>
      <c r="O739" t="str">
        <f t="shared" si="23"/>
        <v>May</v>
      </c>
    </row>
    <row r="740" spans="1:15" x14ac:dyDescent="0.2">
      <c r="A740" t="s">
        <v>849</v>
      </c>
      <c r="B740" s="7">
        <v>45340</v>
      </c>
      <c r="C740" t="s">
        <v>55</v>
      </c>
      <c r="D740" t="s">
        <v>30</v>
      </c>
      <c r="E740" t="s">
        <v>52</v>
      </c>
      <c r="F740" t="s">
        <v>127</v>
      </c>
      <c r="G740" t="s">
        <v>42</v>
      </c>
      <c r="H740" t="s">
        <v>102</v>
      </c>
      <c r="I740" s="3">
        <v>70121.399999999994</v>
      </c>
      <c r="J740">
        <v>6</v>
      </c>
      <c r="K740" s="5">
        <v>0.05</v>
      </c>
      <c r="L740" s="3">
        <v>9218.73</v>
      </c>
      <c r="M740" t="s">
        <v>20</v>
      </c>
      <c r="N740">
        <f t="shared" si="22"/>
        <v>2024</v>
      </c>
      <c r="O740" t="str">
        <f t="shared" si="23"/>
        <v>February</v>
      </c>
    </row>
    <row r="741" spans="1:15" x14ac:dyDescent="0.2">
      <c r="A741" t="s">
        <v>850</v>
      </c>
      <c r="B741" s="7">
        <v>45795</v>
      </c>
      <c r="C741" t="s">
        <v>45</v>
      </c>
      <c r="D741" t="s">
        <v>23</v>
      </c>
      <c r="E741" t="s">
        <v>82</v>
      </c>
      <c r="F741" t="s">
        <v>83</v>
      </c>
      <c r="G741" t="s">
        <v>42</v>
      </c>
      <c r="H741" t="s">
        <v>98</v>
      </c>
      <c r="I741" s="3">
        <v>148656</v>
      </c>
      <c r="J741">
        <v>8</v>
      </c>
      <c r="K741" s="5">
        <v>0.05</v>
      </c>
      <c r="L741" s="3">
        <v>17534.36</v>
      </c>
      <c r="M741" t="s">
        <v>27</v>
      </c>
      <c r="N741">
        <f t="shared" si="22"/>
        <v>2025</v>
      </c>
      <c r="O741" t="str">
        <f t="shared" si="23"/>
        <v>May</v>
      </c>
    </row>
    <row r="742" spans="1:15" x14ac:dyDescent="0.2">
      <c r="A742" t="s">
        <v>851</v>
      </c>
      <c r="B742" s="7">
        <v>45672</v>
      </c>
      <c r="C742" t="s">
        <v>76</v>
      </c>
      <c r="D742" t="s">
        <v>30</v>
      </c>
      <c r="E742" t="s">
        <v>52</v>
      </c>
      <c r="F742" t="s">
        <v>118</v>
      </c>
      <c r="G742" t="s">
        <v>18</v>
      </c>
      <c r="H742" t="s">
        <v>70</v>
      </c>
      <c r="I742" s="3">
        <v>30276</v>
      </c>
      <c r="J742">
        <v>3</v>
      </c>
      <c r="K742" s="5">
        <v>0.2</v>
      </c>
      <c r="L742" s="3">
        <v>4110.6499999999996</v>
      </c>
      <c r="M742" t="s">
        <v>27</v>
      </c>
      <c r="N742">
        <f t="shared" si="22"/>
        <v>2025</v>
      </c>
      <c r="O742" t="str">
        <f t="shared" si="23"/>
        <v>January</v>
      </c>
    </row>
    <row r="743" spans="1:15" x14ac:dyDescent="0.2">
      <c r="A743" t="s">
        <v>852</v>
      </c>
      <c r="B743" s="7">
        <v>45962</v>
      </c>
      <c r="C743" t="s">
        <v>76</v>
      </c>
      <c r="D743" t="s">
        <v>23</v>
      </c>
      <c r="E743" t="s">
        <v>172</v>
      </c>
      <c r="F743" t="s">
        <v>182</v>
      </c>
      <c r="G743" t="s">
        <v>58</v>
      </c>
      <c r="H743" t="s">
        <v>95</v>
      </c>
      <c r="I743" s="3">
        <v>101899.2</v>
      </c>
      <c r="J743">
        <v>3</v>
      </c>
      <c r="K743" s="5">
        <v>0.2</v>
      </c>
      <c r="L743" s="3">
        <v>22791.39</v>
      </c>
      <c r="M743" t="s">
        <v>40</v>
      </c>
      <c r="N743">
        <f t="shared" si="22"/>
        <v>2025</v>
      </c>
      <c r="O743" t="str">
        <f t="shared" si="23"/>
        <v>November</v>
      </c>
    </row>
    <row r="744" spans="1:15" x14ac:dyDescent="0.2">
      <c r="A744" t="s">
        <v>853</v>
      </c>
      <c r="B744" s="7">
        <v>45336</v>
      </c>
      <c r="C744" t="s">
        <v>55</v>
      </c>
      <c r="D744" t="s">
        <v>15</v>
      </c>
      <c r="E744" t="s">
        <v>61</v>
      </c>
      <c r="F744" t="s">
        <v>144</v>
      </c>
      <c r="G744" t="s">
        <v>18</v>
      </c>
      <c r="H744" t="s">
        <v>70</v>
      </c>
      <c r="I744" s="3">
        <v>4449.6000000000004</v>
      </c>
      <c r="J744">
        <v>6</v>
      </c>
      <c r="K744" s="5">
        <v>0.2</v>
      </c>
      <c r="L744" s="3">
        <v>774.92</v>
      </c>
      <c r="M744" t="s">
        <v>40</v>
      </c>
      <c r="N744">
        <f t="shared" si="22"/>
        <v>2024</v>
      </c>
      <c r="O744" t="str">
        <f t="shared" si="23"/>
        <v>February</v>
      </c>
    </row>
    <row r="745" spans="1:15" x14ac:dyDescent="0.2">
      <c r="A745" t="s">
        <v>854</v>
      </c>
      <c r="B745" s="7">
        <v>45828</v>
      </c>
      <c r="C745" t="s">
        <v>51</v>
      </c>
      <c r="D745" t="s">
        <v>30</v>
      </c>
      <c r="E745" t="s">
        <v>72</v>
      </c>
      <c r="F745" t="s">
        <v>207</v>
      </c>
      <c r="G745" t="s">
        <v>42</v>
      </c>
      <c r="H745" t="s">
        <v>119</v>
      </c>
      <c r="I745" s="3">
        <v>37176</v>
      </c>
      <c r="J745">
        <v>8</v>
      </c>
      <c r="K745" s="5">
        <v>0</v>
      </c>
      <c r="L745" s="3">
        <v>6563.95</v>
      </c>
      <c r="M745" t="s">
        <v>20</v>
      </c>
      <c r="N745">
        <f t="shared" si="22"/>
        <v>2025</v>
      </c>
      <c r="O745" t="str">
        <f t="shared" si="23"/>
        <v>June</v>
      </c>
    </row>
    <row r="746" spans="1:15" x14ac:dyDescent="0.2">
      <c r="A746" t="s">
        <v>855</v>
      </c>
      <c r="B746" s="7">
        <v>45837</v>
      </c>
      <c r="C746" t="s">
        <v>51</v>
      </c>
      <c r="D746" t="s">
        <v>23</v>
      </c>
      <c r="E746" t="s">
        <v>172</v>
      </c>
      <c r="F746" t="s">
        <v>210</v>
      </c>
      <c r="G746" t="s">
        <v>42</v>
      </c>
      <c r="H746" t="s">
        <v>98</v>
      </c>
      <c r="I746" s="3">
        <v>54263.15</v>
      </c>
      <c r="J746">
        <v>1</v>
      </c>
      <c r="K746" s="5">
        <v>0.15</v>
      </c>
      <c r="L746" s="3">
        <v>7678.52</v>
      </c>
      <c r="M746" t="s">
        <v>20</v>
      </c>
      <c r="N746">
        <f t="shared" si="22"/>
        <v>2025</v>
      </c>
      <c r="O746" t="str">
        <f t="shared" si="23"/>
        <v>June</v>
      </c>
    </row>
    <row r="747" spans="1:15" x14ac:dyDescent="0.2">
      <c r="A747" t="s">
        <v>856</v>
      </c>
      <c r="B747" s="7">
        <v>45898</v>
      </c>
      <c r="C747" t="s">
        <v>14</v>
      </c>
      <c r="D747" t="s">
        <v>23</v>
      </c>
      <c r="E747" t="s">
        <v>38</v>
      </c>
      <c r="F747" t="s">
        <v>91</v>
      </c>
      <c r="G747" t="s">
        <v>58</v>
      </c>
      <c r="H747" t="s">
        <v>59</v>
      </c>
      <c r="I747" s="3">
        <v>70114.75</v>
      </c>
      <c r="J747">
        <v>5</v>
      </c>
      <c r="K747" s="5">
        <v>0.05</v>
      </c>
      <c r="L747" s="3">
        <v>12752.44</v>
      </c>
      <c r="M747" t="s">
        <v>35</v>
      </c>
      <c r="N747">
        <f t="shared" si="22"/>
        <v>2025</v>
      </c>
      <c r="O747" t="str">
        <f t="shared" si="23"/>
        <v>August</v>
      </c>
    </row>
    <row r="748" spans="1:15" x14ac:dyDescent="0.2">
      <c r="A748" t="s">
        <v>857</v>
      </c>
      <c r="B748" s="7">
        <v>45338</v>
      </c>
      <c r="C748" t="s">
        <v>51</v>
      </c>
      <c r="D748" t="s">
        <v>30</v>
      </c>
      <c r="E748" t="s">
        <v>72</v>
      </c>
      <c r="F748" t="s">
        <v>217</v>
      </c>
      <c r="G748" t="s">
        <v>42</v>
      </c>
      <c r="H748" t="s">
        <v>119</v>
      </c>
      <c r="I748" s="3">
        <v>47990</v>
      </c>
      <c r="J748">
        <v>5</v>
      </c>
      <c r="K748" s="5">
        <v>0</v>
      </c>
      <c r="L748" s="3">
        <v>5481.51</v>
      </c>
      <c r="M748" t="s">
        <v>40</v>
      </c>
      <c r="N748">
        <f t="shared" si="22"/>
        <v>2024</v>
      </c>
      <c r="O748" t="str">
        <f t="shared" si="23"/>
        <v>February</v>
      </c>
    </row>
    <row r="749" spans="1:15" x14ac:dyDescent="0.2">
      <c r="A749" t="s">
        <v>858</v>
      </c>
      <c r="B749" s="7">
        <v>45293</v>
      </c>
      <c r="C749" t="s">
        <v>45</v>
      </c>
      <c r="D749" t="s">
        <v>30</v>
      </c>
      <c r="E749" t="s">
        <v>52</v>
      </c>
      <c r="F749" t="s">
        <v>53</v>
      </c>
      <c r="G749" t="s">
        <v>33</v>
      </c>
      <c r="H749" t="s">
        <v>34</v>
      </c>
      <c r="I749" s="3">
        <v>11818</v>
      </c>
      <c r="J749">
        <v>5</v>
      </c>
      <c r="K749" s="5">
        <v>0.05</v>
      </c>
      <c r="L749" s="3">
        <v>2061.2800000000002</v>
      </c>
      <c r="M749" t="s">
        <v>35</v>
      </c>
      <c r="N749">
        <f t="shared" si="22"/>
        <v>2024</v>
      </c>
      <c r="O749" t="str">
        <f t="shared" si="23"/>
        <v>January</v>
      </c>
    </row>
    <row r="750" spans="1:15" x14ac:dyDescent="0.2">
      <c r="A750" t="s">
        <v>859</v>
      </c>
      <c r="B750" s="7">
        <v>45302</v>
      </c>
      <c r="C750" t="s">
        <v>45</v>
      </c>
      <c r="D750" t="s">
        <v>30</v>
      </c>
      <c r="E750" t="s">
        <v>104</v>
      </c>
      <c r="F750" t="s">
        <v>170</v>
      </c>
      <c r="G750" t="s">
        <v>18</v>
      </c>
      <c r="H750" t="s">
        <v>19</v>
      </c>
      <c r="I750" s="3">
        <v>31389</v>
      </c>
      <c r="J750">
        <v>3</v>
      </c>
      <c r="K750" s="5">
        <v>0</v>
      </c>
      <c r="L750" s="3">
        <v>6440.74</v>
      </c>
      <c r="M750" t="s">
        <v>40</v>
      </c>
      <c r="N750">
        <f t="shared" si="22"/>
        <v>2024</v>
      </c>
      <c r="O750" t="str">
        <f t="shared" si="23"/>
        <v>January</v>
      </c>
    </row>
    <row r="751" spans="1:15" x14ac:dyDescent="0.2">
      <c r="A751" t="s">
        <v>860</v>
      </c>
      <c r="B751" s="7">
        <v>45744</v>
      </c>
      <c r="C751" t="s">
        <v>76</v>
      </c>
      <c r="D751" t="s">
        <v>15</v>
      </c>
      <c r="E751" t="s">
        <v>65</v>
      </c>
      <c r="F751" t="s">
        <v>147</v>
      </c>
      <c r="G751" t="s">
        <v>33</v>
      </c>
      <c r="H751" t="s">
        <v>34</v>
      </c>
      <c r="I751" s="3">
        <v>1846.4</v>
      </c>
      <c r="J751">
        <v>2</v>
      </c>
      <c r="K751" s="5">
        <v>0.2</v>
      </c>
      <c r="L751" s="3">
        <v>258.82</v>
      </c>
      <c r="M751" t="s">
        <v>27</v>
      </c>
      <c r="N751">
        <f t="shared" si="22"/>
        <v>2025</v>
      </c>
      <c r="O751" t="str">
        <f t="shared" si="23"/>
        <v>March</v>
      </c>
    </row>
    <row r="752" spans="1:15" x14ac:dyDescent="0.2">
      <c r="A752" t="s">
        <v>861</v>
      </c>
      <c r="B752" s="7">
        <v>45387</v>
      </c>
      <c r="C752" t="s">
        <v>29</v>
      </c>
      <c r="D752" t="s">
        <v>30</v>
      </c>
      <c r="E752" t="s">
        <v>31</v>
      </c>
      <c r="F752" t="s">
        <v>97</v>
      </c>
      <c r="G752" t="s">
        <v>58</v>
      </c>
      <c r="H752" t="s">
        <v>74</v>
      </c>
      <c r="I752" s="3">
        <v>57068.4</v>
      </c>
      <c r="J752">
        <v>4</v>
      </c>
      <c r="K752" s="5">
        <v>0.05</v>
      </c>
      <c r="L752" s="3">
        <v>14149.18</v>
      </c>
      <c r="M752" t="s">
        <v>40</v>
      </c>
      <c r="N752">
        <f t="shared" si="22"/>
        <v>2024</v>
      </c>
      <c r="O752" t="str">
        <f t="shared" si="23"/>
        <v>April</v>
      </c>
    </row>
    <row r="753" spans="1:15" x14ac:dyDescent="0.2">
      <c r="A753" t="s">
        <v>862</v>
      </c>
      <c r="B753" s="7">
        <v>45473</v>
      </c>
      <c r="C753" t="s">
        <v>22</v>
      </c>
      <c r="D753" t="s">
        <v>30</v>
      </c>
      <c r="E753" t="s">
        <v>31</v>
      </c>
      <c r="F753" t="s">
        <v>188</v>
      </c>
      <c r="G753" t="s">
        <v>33</v>
      </c>
      <c r="H753" t="s">
        <v>48</v>
      </c>
      <c r="I753" s="3">
        <v>53688</v>
      </c>
      <c r="J753">
        <v>8</v>
      </c>
      <c r="K753" s="5">
        <v>0</v>
      </c>
      <c r="L753" s="3">
        <v>7625.42</v>
      </c>
      <c r="M753" t="s">
        <v>35</v>
      </c>
      <c r="N753">
        <f t="shared" si="22"/>
        <v>2024</v>
      </c>
      <c r="O753" t="str">
        <f t="shared" si="23"/>
        <v>June</v>
      </c>
    </row>
    <row r="754" spans="1:15" x14ac:dyDescent="0.2">
      <c r="A754" t="s">
        <v>863</v>
      </c>
      <c r="B754" s="7">
        <v>45304</v>
      </c>
      <c r="C754" t="s">
        <v>90</v>
      </c>
      <c r="D754" t="s">
        <v>23</v>
      </c>
      <c r="E754" t="s">
        <v>82</v>
      </c>
      <c r="F754" t="s">
        <v>83</v>
      </c>
      <c r="G754" t="s">
        <v>33</v>
      </c>
      <c r="H754" t="s">
        <v>128</v>
      </c>
      <c r="I754" s="3">
        <v>99264</v>
      </c>
      <c r="J754">
        <v>4</v>
      </c>
      <c r="K754" s="5">
        <v>0.2</v>
      </c>
      <c r="L754" s="3">
        <v>5703.54</v>
      </c>
      <c r="M754" t="s">
        <v>20</v>
      </c>
      <c r="N754">
        <f t="shared" si="22"/>
        <v>2024</v>
      </c>
      <c r="O754" t="str">
        <f t="shared" si="23"/>
        <v>January</v>
      </c>
    </row>
    <row r="755" spans="1:15" x14ac:dyDescent="0.2">
      <c r="A755" t="s">
        <v>864</v>
      </c>
      <c r="B755" s="7">
        <v>45934</v>
      </c>
      <c r="C755" t="s">
        <v>90</v>
      </c>
      <c r="D755" t="s">
        <v>30</v>
      </c>
      <c r="E755" t="s">
        <v>122</v>
      </c>
      <c r="F755" t="s">
        <v>131</v>
      </c>
      <c r="G755" t="s">
        <v>18</v>
      </c>
      <c r="H755" t="s">
        <v>70</v>
      </c>
      <c r="I755" s="3">
        <v>8043.3</v>
      </c>
      <c r="J755">
        <v>1</v>
      </c>
      <c r="K755" s="5">
        <v>0.1</v>
      </c>
      <c r="L755" s="3">
        <v>671.83</v>
      </c>
      <c r="M755" t="s">
        <v>20</v>
      </c>
      <c r="N755">
        <f t="shared" si="22"/>
        <v>2025</v>
      </c>
      <c r="O755" t="str">
        <f t="shared" si="23"/>
        <v>October</v>
      </c>
    </row>
    <row r="756" spans="1:15" x14ac:dyDescent="0.2">
      <c r="A756" t="s">
        <v>865</v>
      </c>
      <c r="B756" s="7">
        <v>45450</v>
      </c>
      <c r="C756" t="s">
        <v>76</v>
      </c>
      <c r="D756" t="s">
        <v>23</v>
      </c>
      <c r="E756" t="s">
        <v>82</v>
      </c>
      <c r="F756" t="s">
        <v>265</v>
      </c>
      <c r="G756" t="s">
        <v>42</v>
      </c>
      <c r="H756" t="s">
        <v>102</v>
      </c>
      <c r="I756" s="3">
        <v>88249.5</v>
      </c>
      <c r="J756">
        <v>3</v>
      </c>
      <c r="K756" s="5">
        <v>0.1</v>
      </c>
      <c r="L756" s="3">
        <v>10709.19</v>
      </c>
      <c r="M756" t="s">
        <v>20</v>
      </c>
      <c r="N756">
        <f t="shared" si="22"/>
        <v>2024</v>
      </c>
      <c r="O756" t="str">
        <f t="shared" si="23"/>
        <v>June</v>
      </c>
    </row>
    <row r="757" spans="1:15" x14ac:dyDescent="0.2">
      <c r="A757" t="s">
        <v>866</v>
      </c>
      <c r="B757" s="7">
        <v>45717</v>
      </c>
      <c r="C757" t="s">
        <v>55</v>
      </c>
      <c r="D757" t="s">
        <v>15</v>
      </c>
      <c r="E757" t="s">
        <v>65</v>
      </c>
      <c r="F757" t="s">
        <v>147</v>
      </c>
      <c r="G757" t="s">
        <v>18</v>
      </c>
      <c r="H757" t="s">
        <v>70</v>
      </c>
      <c r="I757" s="3">
        <v>832</v>
      </c>
      <c r="J757">
        <v>2</v>
      </c>
      <c r="K757" s="5">
        <v>0.2</v>
      </c>
      <c r="L757" s="3">
        <v>172.47</v>
      </c>
      <c r="M757" t="s">
        <v>20</v>
      </c>
      <c r="N757">
        <f t="shared" si="22"/>
        <v>2025</v>
      </c>
      <c r="O757" t="str">
        <f t="shared" si="23"/>
        <v>March</v>
      </c>
    </row>
    <row r="758" spans="1:15" x14ac:dyDescent="0.2">
      <c r="A758" t="s">
        <v>867</v>
      </c>
      <c r="B758" s="7">
        <v>45407</v>
      </c>
      <c r="C758" t="s">
        <v>29</v>
      </c>
      <c r="D758" t="s">
        <v>23</v>
      </c>
      <c r="E758" t="s">
        <v>82</v>
      </c>
      <c r="F758" t="s">
        <v>83</v>
      </c>
      <c r="G758" t="s">
        <v>33</v>
      </c>
      <c r="H758" t="s">
        <v>109</v>
      </c>
      <c r="I758" s="3">
        <v>62102.7</v>
      </c>
      <c r="J758">
        <v>3</v>
      </c>
      <c r="K758" s="5">
        <v>0.15</v>
      </c>
      <c r="L758" s="3">
        <v>11169.37</v>
      </c>
      <c r="M758" t="s">
        <v>40</v>
      </c>
      <c r="N758">
        <f t="shared" si="22"/>
        <v>2024</v>
      </c>
      <c r="O758" t="str">
        <f t="shared" si="23"/>
        <v>April</v>
      </c>
    </row>
    <row r="759" spans="1:15" x14ac:dyDescent="0.2">
      <c r="A759" t="s">
        <v>868</v>
      </c>
      <c r="B759" s="7">
        <v>45378</v>
      </c>
      <c r="C759" t="s">
        <v>14</v>
      </c>
      <c r="D759" t="s">
        <v>23</v>
      </c>
      <c r="E759" t="s">
        <v>24</v>
      </c>
      <c r="F759" t="s">
        <v>86</v>
      </c>
      <c r="G759" t="s">
        <v>18</v>
      </c>
      <c r="H759" t="s">
        <v>19</v>
      </c>
      <c r="I759" s="3">
        <v>74790</v>
      </c>
      <c r="J759">
        <v>2</v>
      </c>
      <c r="K759" s="5">
        <v>0.1</v>
      </c>
      <c r="L759" s="3">
        <v>17924.46</v>
      </c>
      <c r="M759" t="s">
        <v>35</v>
      </c>
      <c r="N759">
        <f t="shared" si="22"/>
        <v>2024</v>
      </c>
      <c r="O759" t="str">
        <f t="shared" si="23"/>
        <v>March</v>
      </c>
    </row>
    <row r="760" spans="1:15" x14ac:dyDescent="0.2">
      <c r="A760" t="s">
        <v>869</v>
      </c>
      <c r="B760" s="7">
        <v>45585</v>
      </c>
      <c r="C760" t="s">
        <v>45</v>
      </c>
      <c r="D760" t="s">
        <v>23</v>
      </c>
      <c r="E760" t="s">
        <v>24</v>
      </c>
      <c r="F760" t="s">
        <v>25</v>
      </c>
      <c r="G760" t="s">
        <v>58</v>
      </c>
      <c r="H760" t="s">
        <v>84</v>
      </c>
      <c r="I760" s="3">
        <v>123462.9</v>
      </c>
      <c r="J760">
        <v>3</v>
      </c>
      <c r="K760" s="5">
        <v>0.1</v>
      </c>
      <c r="L760" s="3">
        <v>22217.35</v>
      </c>
      <c r="M760" t="s">
        <v>20</v>
      </c>
      <c r="N760">
        <f t="shared" si="22"/>
        <v>2024</v>
      </c>
      <c r="O760" t="str">
        <f t="shared" si="23"/>
        <v>October</v>
      </c>
    </row>
    <row r="761" spans="1:15" x14ac:dyDescent="0.2">
      <c r="A761" t="s">
        <v>870</v>
      </c>
      <c r="B761" s="7">
        <v>45691</v>
      </c>
      <c r="C761" t="s">
        <v>29</v>
      </c>
      <c r="D761" t="s">
        <v>30</v>
      </c>
      <c r="E761" t="s">
        <v>122</v>
      </c>
      <c r="F761" t="s">
        <v>123</v>
      </c>
      <c r="G761" t="s">
        <v>42</v>
      </c>
      <c r="H761" t="s">
        <v>119</v>
      </c>
      <c r="I761" s="3">
        <v>1654.9</v>
      </c>
      <c r="J761">
        <v>2</v>
      </c>
      <c r="K761" s="5">
        <v>0.05</v>
      </c>
      <c r="L761" s="3">
        <v>217.7</v>
      </c>
      <c r="M761" t="s">
        <v>49</v>
      </c>
      <c r="N761">
        <f t="shared" si="22"/>
        <v>2025</v>
      </c>
      <c r="O761" t="str">
        <f t="shared" si="23"/>
        <v>February</v>
      </c>
    </row>
    <row r="762" spans="1:15" x14ac:dyDescent="0.2">
      <c r="A762" t="s">
        <v>871</v>
      </c>
      <c r="B762" s="7">
        <v>45798</v>
      </c>
      <c r="C762" t="s">
        <v>22</v>
      </c>
      <c r="D762" t="s">
        <v>23</v>
      </c>
      <c r="E762" t="s">
        <v>82</v>
      </c>
      <c r="F762" t="s">
        <v>265</v>
      </c>
      <c r="G762" t="s">
        <v>58</v>
      </c>
      <c r="H762" t="s">
        <v>84</v>
      </c>
      <c r="I762" s="3">
        <v>38030.699999999997</v>
      </c>
      <c r="J762">
        <v>2</v>
      </c>
      <c r="K762" s="5">
        <v>0.15</v>
      </c>
      <c r="L762" s="3">
        <v>4298.3</v>
      </c>
      <c r="M762" t="s">
        <v>49</v>
      </c>
      <c r="N762">
        <f t="shared" si="22"/>
        <v>2025</v>
      </c>
      <c r="O762" t="str">
        <f t="shared" si="23"/>
        <v>May</v>
      </c>
    </row>
    <row r="763" spans="1:15" x14ac:dyDescent="0.2">
      <c r="A763" t="s">
        <v>872</v>
      </c>
      <c r="B763" s="7">
        <v>45796</v>
      </c>
      <c r="C763" t="s">
        <v>51</v>
      </c>
      <c r="D763" t="s">
        <v>15</v>
      </c>
      <c r="E763" t="s">
        <v>61</v>
      </c>
      <c r="F763" t="s">
        <v>144</v>
      </c>
      <c r="G763" t="s">
        <v>42</v>
      </c>
      <c r="H763" t="s">
        <v>98</v>
      </c>
      <c r="I763" s="3">
        <v>7990</v>
      </c>
      <c r="J763">
        <v>4</v>
      </c>
      <c r="K763" s="5">
        <v>0.15</v>
      </c>
      <c r="L763" s="3">
        <v>1200.49</v>
      </c>
      <c r="M763" t="s">
        <v>35</v>
      </c>
      <c r="N763">
        <f t="shared" si="22"/>
        <v>2025</v>
      </c>
      <c r="O763" t="str">
        <f t="shared" si="23"/>
        <v>May</v>
      </c>
    </row>
    <row r="764" spans="1:15" x14ac:dyDescent="0.2">
      <c r="A764" t="s">
        <v>873</v>
      </c>
      <c r="B764" s="7">
        <v>45309</v>
      </c>
      <c r="C764" t="s">
        <v>45</v>
      </c>
      <c r="D764" t="s">
        <v>23</v>
      </c>
      <c r="E764" t="s">
        <v>38</v>
      </c>
      <c r="F764" t="s">
        <v>39</v>
      </c>
      <c r="G764" t="s">
        <v>18</v>
      </c>
      <c r="H764" t="s">
        <v>63</v>
      </c>
      <c r="I764" s="3">
        <v>170197.2</v>
      </c>
      <c r="J764">
        <v>4</v>
      </c>
      <c r="K764" s="5">
        <v>0.1</v>
      </c>
      <c r="L764" s="3">
        <v>9458.41</v>
      </c>
      <c r="M764" t="s">
        <v>35</v>
      </c>
      <c r="N764">
        <f t="shared" si="22"/>
        <v>2024</v>
      </c>
      <c r="O764" t="str">
        <f t="shared" si="23"/>
        <v>January</v>
      </c>
    </row>
    <row r="765" spans="1:15" x14ac:dyDescent="0.2">
      <c r="A765" t="s">
        <v>874</v>
      </c>
      <c r="B765" s="7">
        <v>45856</v>
      </c>
      <c r="C765" t="s">
        <v>22</v>
      </c>
      <c r="D765" t="s">
        <v>30</v>
      </c>
      <c r="E765" t="s">
        <v>31</v>
      </c>
      <c r="F765" t="s">
        <v>97</v>
      </c>
      <c r="G765" t="s">
        <v>18</v>
      </c>
      <c r="H765" t="s">
        <v>70</v>
      </c>
      <c r="I765" s="3">
        <v>27366.6</v>
      </c>
      <c r="J765">
        <v>6</v>
      </c>
      <c r="K765" s="5">
        <v>0.15</v>
      </c>
      <c r="L765" s="3">
        <v>1952.01</v>
      </c>
      <c r="M765" t="s">
        <v>40</v>
      </c>
      <c r="N765">
        <f t="shared" si="22"/>
        <v>2025</v>
      </c>
      <c r="O765" t="str">
        <f t="shared" si="23"/>
        <v>July</v>
      </c>
    </row>
    <row r="766" spans="1:15" x14ac:dyDescent="0.2">
      <c r="A766" t="s">
        <v>875</v>
      </c>
      <c r="B766" s="7">
        <v>45400</v>
      </c>
      <c r="C766" t="s">
        <v>90</v>
      </c>
      <c r="D766" t="s">
        <v>23</v>
      </c>
      <c r="E766" t="s">
        <v>24</v>
      </c>
      <c r="F766" t="s">
        <v>77</v>
      </c>
      <c r="G766" t="s">
        <v>18</v>
      </c>
      <c r="H766" t="s">
        <v>26</v>
      </c>
      <c r="I766" s="3">
        <v>70029.899999999994</v>
      </c>
      <c r="J766">
        <v>3</v>
      </c>
      <c r="K766" s="5">
        <v>0.1</v>
      </c>
      <c r="L766" s="3">
        <v>4609.13</v>
      </c>
      <c r="M766" t="s">
        <v>20</v>
      </c>
      <c r="N766">
        <f t="shared" si="22"/>
        <v>2024</v>
      </c>
      <c r="O766" t="str">
        <f t="shared" si="23"/>
        <v>April</v>
      </c>
    </row>
    <row r="767" spans="1:15" x14ac:dyDescent="0.2">
      <c r="A767" t="s">
        <v>876</v>
      </c>
      <c r="B767" s="7">
        <v>45718</v>
      </c>
      <c r="C767" t="s">
        <v>55</v>
      </c>
      <c r="D767" t="s">
        <v>30</v>
      </c>
      <c r="E767" t="s">
        <v>72</v>
      </c>
      <c r="F767" t="s">
        <v>217</v>
      </c>
      <c r="G767" t="s">
        <v>33</v>
      </c>
      <c r="H767" t="s">
        <v>128</v>
      </c>
      <c r="I767" s="3">
        <v>20328</v>
      </c>
      <c r="J767">
        <v>6</v>
      </c>
      <c r="K767" s="5">
        <v>0</v>
      </c>
      <c r="L767" s="3">
        <v>1676.97</v>
      </c>
      <c r="M767" t="s">
        <v>40</v>
      </c>
      <c r="N767">
        <f t="shared" si="22"/>
        <v>2025</v>
      </c>
      <c r="O767" t="str">
        <f t="shared" si="23"/>
        <v>March</v>
      </c>
    </row>
    <row r="768" spans="1:15" x14ac:dyDescent="0.2">
      <c r="A768" t="s">
        <v>877</v>
      </c>
      <c r="B768" s="7">
        <v>45949</v>
      </c>
      <c r="C768" t="s">
        <v>14</v>
      </c>
      <c r="D768" t="s">
        <v>30</v>
      </c>
      <c r="E768" t="s">
        <v>31</v>
      </c>
      <c r="F768" t="s">
        <v>97</v>
      </c>
      <c r="G768" t="s">
        <v>42</v>
      </c>
      <c r="H768" t="s">
        <v>43</v>
      </c>
      <c r="I768" s="3">
        <v>7392</v>
      </c>
      <c r="J768">
        <v>6</v>
      </c>
      <c r="K768" s="5">
        <v>0</v>
      </c>
      <c r="L768" s="3">
        <v>821.82</v>
      </c>
      <c r="M768" t="s">
        <v>35</v>
      </c>
      <c r="N768">
        <f t="shared" si="22"/>
        <v>2025</v>
      </c>
      <c r="O768" t="str">
        <f t="shared" si="23"/>
        <v>October</v>
      </c>
    </row>
    <row r="769" spans="1:15" x14ac:dyDescent="0.2">
      <c r="A769" t="s">
        <v>878</v>
      </c>
      <c r="B769" s="7">
        <v>45805</v>
      </c>
      <c r="C769" t="s">
        <v>68</v>
      </c>
      <c r="D769" t="s">
        <v>23</v>
      </c>
      <c r="E769" t="s">
        <v>172</v>
      </c>
      <c r="F769" t="s">
        <v>210</v>
      </c>
      <c r="G769" t="s">
        <v>33</v>
      </c>
      <c r="H769" t="s">
        <v>128</v>
      </c>
      <c r="I769" s="3">
        <v>288275.40000000002</v>
      </c>
      <c r="J769">
        <v>7</v>
      </c>
      <c r="K769" s="5">
        <v>0.1</v>
      </c>
      <c r="L769" s="3">
        <v>68848.83</v>
      </c>
      <c r="M769" t="s">
        <v>40</v>
      </c>
      <c r="N769">
        <f t="shared" si="22"/>
        <v>2025</v>
      </c>
      <c r="O769" t="str">
        <f t="shared" si="23"/>
        <v>May</v>
      </c>
    </row>
    <row r="770" spans="1:15" x14ac:dyDescent="0.2">
      <c r="A770" t="s">
        <v>879</v>
      </c>
      <c r="B770" s="7">
        <v>45516</v>
      </c>
      <c r="C770" t="s">
        <v>22</v>
      </c>
      <c r="D770" t="s">
        <v>30</v>
      </c>
      <c r="E770" t="s">
        <v>31</v>
      </c>
      <c r="F770" t="s">
        <v>188</v>
      </c>
      <c r="G770" t="s">
        <v>42</v>
      </c>
      <c r="H770" t="s">
        <v>102</v>
      </c>
      <c r="I770" s="3">
        <v>29155</v>
      </c>
      <c r="J770">
        <v>7</v>
      </c>
      <c r="K770" s="5">
        <v>0.15</v>
      </c>
      <c r="L770" s="3">
        <v>4848.7299999999996</v>
      </c>
      <c r="M770" t="s">
        <v>40</v>
      </c>
      <c r="N770">
        <f t="shared" ref="N770:N833" si="24">YEAR(B770)</f>
        <v>2024</v>
      </c>
      <c r="O770" t="str">
        <f t="shared" ref="O770:O833" si="25">TEXT(B770,"mmmm")</f>
        <v>August</v>
      </c>
    </row>
    <row r="771" spans="1:15" x14ac:dyDescent="0.2">
      <c r="A771" t="s">
        <v>880</v>
      </c>
      <c r="B771" s="7">
        <v>45672</v>
      </c>
      <c r="C771" t="s">
        <v>22</v>
      </c>
      <c r="D771" t="s">
        <v>15</v>
      </c>
      <c r="E771" t="s">
        <v>56</v>
      </c>
      <c r="F771" t="s">
        <v>57</v>
      </c>
      <c r="G771" t="s">
        <v>18</v>
      </c>
      <c r="H771" t="s">
        <v>63</v>
      </c>
      <c r="I771" s="3">
        <v>9450.6</v>
      </c>
      <c r="J771">
        <v>6</v>
      </c>
      <c r="K771" s="5">
        <v>0.05</v>
      </c>
      <c r="L771" s="3">
        <v>741.25</v>
      </c>
      <c r="M771" t="s">
        <v>40</v>
      </c>
      <c r="N771">
        <f t="shared" si="24"/>
        <v>2025</v>
      </c>
      <c r="O771" t="str">
        <f t="shared" si="25"/>
        <v>January</v>
      </c>
    </row>
    <row r="772" spans="1:15" x14ac:dyDescent="0.2">
      <c r="A772" t="s">
        <v>881</v>
      </c>
      <c r="B772" s="7">
        <v>45358</v>
      </c>
      <c r="C772" t="s">
        <v>76</v>
      </c>
      <c r="D772" t="s">
        <v>30</v>
      </c>
      <c r="E772" t="s">
        <v>52</v>
      </c>
      <c r="F772" t="s">
        <v>127</v>
      </c>
      <c r="G772" t="s">
        <v>18</v>
      </c>
      <c r="H772" t="s">
        <v>70</v>
      </c>
      <c r="I772" s="3">
        <v>49293.599999999999</v>
      </c>
      <c r="J772">
        <v>6</v>
      </c>
      <c r="K772" s="5">
        <v>0.05</v>
      </c>
      <c r="L772" s="3">
        <v>8666.48</v>
      </c>
      <c r="M772" t="s">
        <v>35</v>
      </c>
      <c r="N772">
        <f t="shared" si="24"/>
        <v>2024</v>
      </c>
      <c r="O772" t="str">
        <f t="shared" si="25"/>
        <v>March</v>
      </c>
    </row>
    <row r="773" spans="1:15" x14ac:dyDescent="0.2">
      <c r="A773" t="s">
        <v>882</v>
      </c>
      <c r="B773" s="7">
        <v>45869</v>
      </c>
      <c r="C773" t="s">
        <v>29</v>
      </c>
      <c r="D773" t="s">
        <v>23</v>
      </c>
      <c r="E773" t="s">
        <v>79</v>
      </c>
      <c r="F773" t="s">
        <v>93</v>
      </c>
      <c r="G773" t="s">
        <v>33</v>
      </c>
      <c r="H773" t="s">
        <v>48</v>
      </c>
      <c r="I773" s="3">
        <v>13560</v>
      </c>
      <c r="J773">
        <v>1</v>
      </c>
      <c r="K773" s="5">
        <v>0.2</v>
      </c>
      <c r="L773" s="3">
        <v>1938.53</v>
      </c>
      <c r="M773" t="s">
        <v>20</v>
      </c>
      <c r="N773">
        <f t="shared" si="24"/>
        <v>2025</v>
      </c>
      <c r="O773" t="str">
        <f t="shared" si="25"/>
        <v>July</v>
      </c>
    </row>
    <row r="774" spans="1:15" x14ac:dyDescent="0.2">
      <c r="A774" t="s">
        <v>883</v>
      </c>
      <c r="B774" s="7">
        <v>45692</v>
      </c>
      <c r="C774" t="s">
        <v>45</v>
      </c>
      <c r="D774" t="s">
        <v>23</v>
      </c>
      <c r="E774" t="s">
        <v>79</v>
      </c>
      <c r="F774" t="s">
        <v>107</v>
      </c>
      <c r="G774" t="s">
        <v>18</v>
      </c>
      <c r="H774" t="s">
        <v>19</v>
      </c>
      <c r="I774" s="3">
        <v>242217.60000000001</v>
      </c>
      <c r="J774">
        <v>6</v>
      </c>
      <c r="K774" s="5">
        <v>0.2</v>
      </c>
      <c r="L774" s="3">
        <v>16707.38</v>
      </c>
      <c r="M774" t="s">
        <v>40</v>
      </c>
      <c r="N774">
        <f t="shared" si="24"/>
        <v>2025</v>
      </c>
      <c r="O774" t="str">
        <f t="shared" si="25"/>
        <v>February</v>
      </c>
    </row>
    <row r="775" spans="1:15" x14ac:dyDescent="0.2">
      <c r="A775" t="s">
        <v>884</v>
      </c>
      <c r="B775" s="7">
        <v>45780</v>
      </c>
      <c r="C775" t="s">
        <v>90</v>
      </c>
      <c r="D775" t="s">
        <v>15</v>
      </c>
      <c r="E775" t="s">
        <v>16</v>
      </c>
      <c r="F775" t="s">
        <v>230</v>
      </c>
      <c r="G775" t="s">
        <v>42</v>
      </c>
      <c r="H775" t="s">
        <v>43</v>
      </c>
      <c r="I775" s="3">
        <v>315.2</v>
      </c>
      <c r="J775">
        <v>2</v>
      </c>
      <c r="K775" s="5">
        <v>0.2</v>
      </c>
      <c r="L775" s="3">
        <v>59.64</v>
      </c>
      <c r="M775" t="s">
        <v>20</v>
      </c>
      <c r="N775">
        <f t="shared" si="24"/>
        <v>2025</v>
      </c>
      <c r="O775" t="str">
        <f t="shared" si="25"/>
        <v>May</v>
      </c>
    </row>
    <row r="776" spans="1:15" x14ac:dyDescent="0.2">
      <c r="A776" t="s">
        <v>885</v>
      </c>
      <c r="B776" s="7">
        <v>45456</v>
      </c>
      <c r="C776" t="s">
        <v>51</v>
      </c>
      <c r="D776" t="s">
        <v>30</v>
      </c>
      <c r="E776" t="s">
        <v>31</v>
      </c>
      <c r="F776" t="s">
        <v>32</v>
      </c>
      <c r="G776" t="s">
        <v>33</v>
      </c>
      <c r="H776" t="s">
        <v>109</v>
      </c>
      <c r="I776" s="3">
        <v>15937.2</v>
      </c>
      <c r="J776">
        <v>2</v>
      </c>
      <c r="K776" s="5">
        <v>0.05</v>
      </c>
      <c r="L776" s="3">
        <v>3526.35</v>
      </c>
      <c r="M776" t="s">
        <v>35</v>
      </c>
      <c r="N776">
        <f t="shared" si="24"/>
        <v>2024</v>
      </c>
      <c r="O776" t="str">
        <f t="shared" si="25"/>
        <v>June</v>
      </c>
    </row>
    <row r="777" spans="1:15" x14ac:dyDescent="0.2">
      <c r="A777" t="s">
        <v>886</v>
      </c>
      <c r="B777" s="7">
        <v>45991</v>
      </c>
      <c r="C777" t="s">
        <v>22</v>
      </c>
      <c r="D777" t="s">
        <v>15</v>
      </c>
      <c r="E777" t="s">
        <v>56</v>
      </c>
      <c r="F777" t="s">
        <v>88</v>
      </c>
      <c r="G777" t="s">
        <v>42</v>
      </c>
      <c r="H777" t="s">
        <v>43</v>
      </c>
      <c r="I777" s="3">
        <v>11184</v>
      </c>
      <c r="J777">
        <v>6</v>
      </c>
      <c r="K777" s="5">
        <v>0</v>
      </c>
      <c r="L777" s="3">
        <v>2886.99</v>
      </c>
      <c r="M777" t="s">
        <v>40</v>
      </c>
      <c r="N777">
        <f t="shared" si="24"/>
        <v>2025</v>
      </c>
      <c r="O777" t="str">
        <f t="shared" si="25"/>
        <v>November</v>
      </c>
    </row>
    <row r="778" spans="1:15" x14ac:dyDescent="0.2">
      <c r="A778" t="s">
        <v>887</v>
      </c>
      <c r="B778" s="7">
        <v>45381</v>
      </c>
      <c r="C778" t="s">
        <v>29</v>
      </c>
      <c r="D778" t="s">
        <v>23</v>
      </c>
      <c r="E778" t="s">
        <v>172</v>
      </c>
      <c r="F778" t="s">
        <v>173</v>
      </c>
      <c r="G778" t="s">
        <v>18</v>
      </c>
      <c r="H778" t="s">
        <v>26</v>
      </c>
      <c r="I778" s="3">
        <v>54597.599999999999</v>
      </c>
      <c r="J778">
        <v>8</v>
      </c>
      <c r="K778" s="5">
        <v>0.1</v>
      </c>
      <c r="L778" s="3">
        <v>8977.33</v>
      </c>
      <c r="M778" t="s">
        <v>20</v>
      </c>
      <c r="N778">
        <f t="shared" si="24"/>
        <v>2024</v>
      </c>
      <c r="O778" t="str">
        <f t="shared" si="25"/>
        <v>March</v>
      </c>
    </row>
    <row r="779" spans="1:15" x14ac:dyDescent="0.2">
      <c r="A779" t="s">
        <v>888</v>
      </c>
      <c r="B779" s="7">
        <v>46019</v>
      </c>
      <c r="C779" t="s">
        <v>29</v>
      </c>
      <c r="D779" t="s">
        <v>30</v>
      </c>
      <c r="E779" t="s">
        <v>104</v>
      </c>
      <c r="F779" t="s">
        <v>105</v>
      </c>
      <c r="G779" t="s">
        <v>33</v>
      </c>
      <c r="H779" t="s">
        <v>34</v>
      </c>
      <c r="I779" s="3">
        <v>25410</v>
      </c>
      <c r="J779">
        <v>2</v>
      </c>
      <c r="K779" s="5">
        <v>0</v>
      </c>
      <c r="L779" s="3">
        <v>2394.3000000000002</v>
      </c>
      <c r="M779" t="s">
        <v>27</v>
      </c>
      <c r="N779">
        <f t="shared" si="24"/>
        <v>2025</v>
      </c>
      <c r="O779" t="str">
        <f t="shared" si="25"/>
        <v>December</v>
      </c>
    </row>
    <row r="780" spans="1:15" x14ac:dyDescent="0.2">
      <c r="A780" t="s">
        <v>889</v>
      </c>
      <c r="B780" s="7">
        <v>45926</v>
      </c>
      <c r="C780" t="s">
        <v>55</v>
      </c>
      <c r="D780" t="s">
        <v>30</v>
      </c>
      <c r="E780" t="s">
        <v>104</v>
      </c>
      <c r="F780" t="s">
        <v>105</v>
      </c>
      <c r="G780" t="s">
        <v>58</v>
      </c>
      <c r="H780" t="s">
        <v>74</v>
      </c>
      <c r="I780" s="3">
        <v>86428</v>
      </c>
      <c r="J780">
        <v>8</v>
      </c>
      <c r="K780" s="5">
        <v>0.15</v>
      </c>
      <c r="L780" s="3">
        <v>10743.57</v>
      </c>
      <c r="M780" t="s">
        <v>49</v>
      </c>
      <c r="N780">
        <f t="shared" si="24"/>
        <v>2025</v>
      </c>
      <c r="O780" t="str">
        <f t="shared" si="25"/>
        <v>September</v>
      </c>
    </row>
    <row r="781" spans="1:15" x14ac:dyDescent="0.2">
      <c r="A781" t="s">
        <v>890</v>
      </c>
      <c r="B781" s="7">
        <v>45951</v>
      </c>
      <c r="C781" t="s">
        <v>14</v>
      </c>
      <c r="D781" t="s">
        <v>30</v>
      </c>
      <c r="E781" t="s">
        <v>72</v>
      </c>
      <c r="F781" t="s">
        <v>217</v>
      </c>
      <c r="G781" t="s">
        <v>42</v>
      </c>
      <c r="H781" t="s">
        <v>119</v>
      </c>
      <c r="I781" s="3">
        <v>108836</v>
      </c>
      <c r="J781">
        <v>7</v>
      </c>
      <c r="K781" s="5">
        <v>0</v>
      </c>
      <c r="L781" s="3">
        <v>22215.9</v>
      </c>
      <c r="M781" t="s">
        <v>40</v>
      </c>
      <c r="N781">
        <f t="shared" si="24"/>
        <v>2025</v>
      </c>
      <c r="O781" t="str">
        <f t="shared" si="25"/>
        <v>October</v>
      </c>
    </row>
    <row r="782" spans="1:15" x14ac:dyDescent="0.2">
      <c r="A782" t="s">
        <v>891</v>
      </c>
      <c r="B782" s="7">
        <v>45520</v>
      </c>
      <c r="C782" t="s">
        <v>22</v>
      </c>
      <c r="D782" t="s">
        <v>15</v>
      </c>
      <c r="E782" t="s">
        <v>56</v>
      </c>
      <c r="F782" t="s">
        <v>88</v>
      </c>
      <c r="G782" t="s">
        <v>18</v>
      </c>
      <c r="H782" t="s">
        <v>26</v>
      </c>
      <c r="I782" s="3">
        <v>10348.75</v>
      </c>
      <c r="J782">
        <v>5</v>
      </c>
      <c r="K782" s="5">
        <v>0.15</v>
      </c>
      <c r="L782" s="3">
        <v>2207.0300000000002</v>
      </c>
      <c r="M782" t="s">
        <v>49</v>
      </c>
      <c r="N782">
        <f t="shared" si="24"/>
        <v>2024</v>
      </c>
      <c r="O782" t="str">
        <f t="shared" si="25"/>
        <v>August</v>
      </c>
    </row>
    <row r="783" spans="1:15" x14ac:dyDescent="0.2">
      <c r="A783" t="s">
        <v>892</v>
      </c>
      <c r="B783" s="7">
        <v>45698</v>
      </c>
      <c r="C783" t="s">
        <v>22</v>
      </c>
      <c r="D783" t="s">
        <v>15</v>
      </c>
      <c r="E783" t="s">
        <v>16</v>
      </c>
      <c r="F783" t="s">
        <v>204</v>
      </c>
      <c r="G783" t="s">
        <v>42</v>
      </c>
      <c r="H783" t="s">
        <v>43</v>
      </c>
      <c r="I783" s="3">
        <v>6704</v>
      </c>
      <c r="J783">
        <v>8</v>
      </c>
      <c r="K783" s="5">
        <v>0</v>
      </c>
      <c r="L783" s="3">
        <v>1766.45</v>
      </c>
      <c r="M783" t="s">
        <v>40</v>
      </c>
      <c r="N783">
        <f t="shared" si="24"/>
        <v>2025</v>
      </c>
      <c r="O783" t="str">
        <f t="shared" si="25"/>
        <v>February</v>
      </c>
    </row>
    <row r="784" spans="1:15" x14ac:dyDescent="0.2">
      <c r="A784" t="s">
        <v>893</v>
      </c>
      <c r="B784" s="7">
        <v>45850</v>
      </c>
      <c r="C784" t="s">
        <v>55</v>
      </c>
      <c r="D784" t="s">
        <v>30</v>
      </c>
      <c r="E784" t="s">
        <v>104</v>
      </c>
      <c r="F784" t="s">
        <v>137</v>
      </c>
      <c r="G784" t="s">
        <v>18</v>
      </c>
      <c r="H784" t="s">
        <v>19</v>
      </c>
      <c r="I784" s="3">
        <v>118108.8</v>
      </c>
      <c r="J784">
        <v>8</v>
      </c>
      <c r="K784" s="5">
        <v>0.1</v>
      </c>
      <c r="L784" s="3">
        <v>17233.93</v>
      </c>
      <c r="M784" t="s">
        <v>49</v>
      </c>
      <c r="N784">
        <f t="shared" si="24"/>
        <v>2025</v>
      </c>
      <c r="O784" t="str">
        <f t="shared" si="25"/>
        <v>July</v>
      </c>
    </row>
    <row r="785" spans="1:15" x14ac:dyDescent="0.2">
      <c r="A785" t="s">
        <v>894</v>
      </c>
      <c r="B785" s="7">
        <v>45508</v>
      </c>
      <c r="C785" t="s">
        <v>14</v>
      </c>
      <c r="D785" t="s">
        <v>23</v>
      </c>
      <c r="E785" t="s">
        <v>24</v>
      </c>
      <c r="F785" t="s">
        <v>25</v>
      </c>
      <c r="G785" t="s">
        <v>42</v>
      </c>
      <c r="H785" t="s">
        <v>102</v>
      </c>
      <c r="I785" s="3">
        <v>31469.55</v>
      </c>
      <c r="J785">
        <v>7</v>
      </c>
      <c r="K785" s="5">
        <v>0.15</v>
      </c>
      <c r="L785" s="3">
        <v>2680.71</v>
      </c>
      <c r="M785" t="s">
        <v>49</v>
      </c>
      <c r="N785">
        <f t="shared" si="24"/>
        <v>2024</v>
      </c>
      <c r="O785" t="str">
        <f t="shared" si="25"/>
        <v>August</v>
      </c>
    </row>
    <row r="786" spans="1:15" x14ac:dyDescent="0.2">
      <c r="A786" t="s">
        <v>895</v>
      </c>
      <c r="B786" s="7">
        <v>45754</v>
      </c>
      <c r="C786" t="s">
        <v>22</v>
      </c>
      <c r="D786" t="s">
        <v>30</v>
      </c>
      <c r="E786" t="s">
        <v>104</v>
      </c>
      <c r="F786" t="s">
        <v>105</v>
      </c>
      <c r="G786" t="s">
        <v>33</v>
      </c>
      <c r="H786" t="s">
        <v>128</v>
      </c>
      <c r="I786" s="3">
        <v>25331.4</v>
      </c>
      <c r="J786">
        <v>2</v>
      </c>
      <c r="K786" s="5">
        <v>0.1</v>
      </c>
      <c r="L786" s="3">
        <v>5820.02</v>
      </c>
      <c r="M786" t="s">
        <v>35</v>
      </c>
      <c r="N786">
        <f t="shared" si="24"/>
        <v>2025</v>
      </c>
      <c r="O786" t="str">
        <f t="shared" si="25"/>
        <v>April</v>
      </c>
    </row>
    <row r="787" spans="1:15" x14ac:dyDescent="0.2">
      <c r="A787" t="s">
        <v>896</v>
      </c>
      <c r="B787" s="7">
        <v>45721</v>
      </c>
      <c r="C787" t="s">
        <v>29</v>
      </c>
      <c r="D787" t="s">
        <v>23</v>
      </c>
      <c r="E787" t="s">
        <v>79</v>
      </c>
      <c r="F787" t="s">
        <v>107</v>
      </c>
      <c r="G787" t="s">
        <v>33</v>
      </c>
      <c r="H787" t="s">
        <v>128</v>
      </c>
      <c r="I787" s="3">
        <v>157033.1</v>
      </c>
      <c r="J787">
        <v>7</v>
      </c>
      <c r="K787" s="5">
        <v>0.05</v>
      </c>
      <c r="L787" s="3">
        <v>21569.32</v>
      </c>
      <c r="M787" t="s">
        <v>49</v>
      </c>
      <c r="N787">
        <f t="shared" si="24"/>
        <v>2025</v>
      </c>
      <c r="O787" t="str">
        <f t="shared" si="25"/>
        <v>March</v>
      </c>
    </row>
    <row r="788" spans="1:15" x14ac:dyDescent="0.2">
      <c r="A788" t="s">
        <v>897</v>
      </c>
      <c r="B788" s="7">
        <v>45975</v>
      </c>
      <c r="C788" t="s">
        <v>90</v>
      </c>
      <c r="D788" t="s">
        <v>15</v>
      </c>
      <c r="E788" t="s">
        <v>46</v>
      </c>
      <c r="F788" t="s">
        <v>116</v>
      </c>
      <c r="G788" t="s">
        <v>58</v>
      </c>
      <c r="H788" t="s">
        <v>84</v>
      </c>
      <c r="I788" s="3">
        <v>13423.2</v>
      </c>
      <c r="J788">
        <v>7</v>
      </c>
      <c r="K788" s="5">
        <v>0.2</v>
      </c>
      <c r="L788" s="3">
        <v>935.76</v>
      </c>
      <c r="M788" t="s">
        <v>35</v>
      </c>
      <c r="N788">
        <f t="shared" si="24"/>
        <v>2025</v>
      </c>
      <c r="O788" t="str">
        <f t="shared" si="25"/>
        <v>November</v>
      </c>
    </row>
    <row r="789" spans="1:15" x14ac:dyDescent="0.2">
      <c r="A789" t="s">
        <v>898</v>
      </c>
      <c r="B789" s="7">
        <v>45982</v>
      </c>
      <c r="C789" t="s">
        <v>22</v>
      </c>
      <c r="D789" t="s">
        <v>23</v>
      </c>
      <c r="E789" t="s">
        <v>79</v>
      </c>
      <c r="F789" t="s">
        <v>107</v>
      </c>
      <c r="G789" t="s">
        <v>42</v>
      </c>
      <c r="H789" t="s">
        <v>102</v>
      </c>
      <c r="I789" s="3">
        <v>449265.6</v>
      </c>
      <c r="J789">
        <v>8</v>
      </c>
      <c r="K789" s="5">
        <v>0.1</v>
      </c>
      <c r="L789" s="3">
        <v>34917.54</v>
      </c>
      <c r="M789" t="s">
        <v>27</v>
      </c>
      <c r="N789">
        <f t="shared" si="24"/>
        <v>2025</v>
      </c>
      <c r="O789" t="str">
        <f t="shared" si="25"/>
        <v>November</v>
      </c>
    </row>
    <row r="790" spans="1:15" x14ac:dyDescent="0.2">
      <c r="A790" t="s">
        <v>899</v>
      </c>
      <c r="B790" s="7">
        <v>45484</v>
      </c>
      <c r="C790" t="s">
        <v>22</v>
      </c>
      <c r="D790" t="s">
        <v>15</v>
      </c>
      <c r="E790" t="s">
        <v>16</v>
      </c>
      <c r="F790" t="s">
        <v>230</v>
      </c>
      <c r="G790" t="s">
        <v>58</v>
      </c>
      <c r="H790" t="s">
        <v>74</v>
      </c>
      <c r="I790" s="3">
        <v>1892.4</v>
      </c>
      <c r="J790">
        <v>8</v>
      </c>
      <c r="K790" s="5">
        <v>0.05</v>
      </c>
      <c r="L790" s="3">
        <v>409.97</v>
      </c>
      <c r="M790" t="s">
        <v>35</v>
      </c>
      <c r="N790">
        <f t="shared" si="24"/>
        <v>2024</v>
      </c>
      <c r="O790" t="str">
        <f t="shared" si="25"/>
        <v>July</v>
      </c>
    </row>
    <row r="791" spans="1:15" x14ac:dyDescent="0.2">
      <c r="A791" t="s">
        <v>900</v>
      </c>
      <c r="B791" s="7">
        <v>45664</v>
      </c>
      <c r="C791" t="s">
        <v>14</v>
      </c>
      <c r="D791" t="s">
        <v>23</v>
      </c>
      <c r="E791" t="s">
        <v>172</v>
      </c>
      <c r="F791" t="s">
        <v>210</v>
      </c>
      <c r="G791" t="s">
        <v>58</v>
      </c>
      <c r="H791" t="s">
        <v>74</v>
      </c>
      <c r="I791" s="3">
        <v>254456</v>
      </c>
      <c r="J791">
        <v>4</v>
      </c>
      <c r="K791" s="5">
        <v>0</v>
      </c>
      <c r="L791" s="3">
        <v>39199.269999999997</v>
      </c>
      <c r="M791" t="s">
        <v>27</v>
      </c>
      <c r="N791">
        <f t="shared" si="24"/>
        <v>2025</v>
      </c>
      <c r="O791" t="str">
        <f t="shared" si="25"/>
        <v>January</v>
      </c>
    </row>
    <row r="792" spans="1:15" x14ac:dyDescent="0.2">
      <c r="A792" t="s">
        <v>901</v>
      </c>
      <c r="B792" s="7">
        <v>45728</v>
      </c>
      <c r="C792" t="s">
        <v>51</v>
      </c>
      <c r="D792" t="s">
        <v>30</v>
      </c>
      <c r="E792" t="s">
        <v>72</v>
      </c>
      <c r="F792" t="s">
        <v>73</v>
      </c>
      <c r="G792" t="s">
        <v>18</v>
      </c>
      <c r="H792" t="s">
        <v>63</v>
      </c>
      <c r="I792" s="3">
        <v>102578.4</v>
      </c>
      <c r="J792">
        <v>8</v>
      </c>
      <c r="K792" s="5">
        <v>0.1</v>
      </c>
      <c r="L792" s="3">
        <v>22632.61</v>
      </c>
      <c r="M792" t="s">
        <v>27</v>
      </c>
      <c r="N792">
        <f t="shared" si="24"/>
        <v>2025</v>
      </c>
      <c r="O792" t="str">
        <f t="shared" si="25"/>
        <v>March</v>
      </c>
    </row>
    <row r="793" spans="1:15" x14ac:dyDescent="0.2">
      <c r="A793" t="s">
        <v>902</v>
      </c>
      <c r="B793" s="7">
        <v>45967</v>
      </c>
      <c r="C793" t="s">
        <v>22</v>
      </c>
      <c r="D793" t="s">
        <v>23</v>
      </c>
      <c r="E793" t="s">
        <v>24</v>
      </c>
      <c r="F793" t="s">
        <v>86</v>
      </c>
      <c r="G793" t="s">
        <v>58</v>
      </c>
      <c r="H793" t="s">
        <v>59</v>
      </c>
      <c r="I793" s="3">
        <v>95433.75</v>
      </c>
      <c r="J793">
        <v>3</v>
      </c>
      <c r="K793" s="5">
        <v>0.15</v>
      </c>
      <c r="L793" s="3">
        <v>11338.74</v>
      </c>
      <c r="M793" t="s">
        <v>27</v>
      </c>
      <c r="N793">
        <f t="shared" si="24"/>
        <v>2025</v>
      </c>
      <c r="O793" t="str">
        <f t="shared" si="25"/>
        <v>November</v>
      </c>
    </row>
    <row r="794" spans="1:15" x14ac:dyDescent="0.2">
      <c r="A794" t="s">
        <v>903</v>
      </c>
      <c r="B794" s="7">
        <v>45930</v>
      </c>
      <c r="C794" t="s">
        <v>51</v>
      </c>
      <c r="D794" t="s">
        <v>15</v>
      </c>
      <c r="E794" t="s">
        <v>56</v>
      </c>
      <c r="F794" t="s">
        <v>88</v>
      </c>
      <c r="G794" t="s">
        <v>18</v>
      </c>
      <c r="H794" t="s">
        <v>70</v>
      </c>
      <c r="I794" s="3">
        <v>3568</v>
      </c>
      <c r="J794">
        <v>2</v>
      </c>
      <c r="K794" s="5">
        <v>0</v>
      </c>
      <c r="L794" s="3">
        <v>639.66999999999996</v>
      </c>
      <c r="M794" t="s">
        <v>20</v>
      </c>
      <c r="N794">
        <f t="shared" si="24"/>
        <v>2025</v>
      </c>
      <c r="O794" t="str">
        <f t="shared" si="25"/>
        <v>September</v>
      </c>
    </row>
    <row r="795" spans="1:15" x14ac:dyDescent="0.2">
      <c r="A795" t="s">
        <v>904</v>
      </c>
      <c r="B795" s="7">
        <v>45772</v>
      </c>
      <c r="C795" t="s">
        <v>37</v>
      </c>
      <c r="D795" t="s">
        <v>15</v>
      </c>
      <c r="E795" t="s">
        <v>61</v>
      </c>
      <c r="F795" t="s">
        <v>62</v>
      </c>
      <c r="G795" t="s">
        <v>18</v>
      </c>
      <c r="H795" t="s">
        <v>19</v>
      </c>
      <c r="I795" s="3">
        <v>8020.6</v>
      </c>
      <c r="J795">
        <v>4</v>
      </c>
      <c r="K795" s="5">
        <v>0.15</v>
      </c>
      <c r="L795" s="3">
        <v>524.54999999999995</v>
      </c>
      <c r="M795" t="s">
        <v>27</v>
      </c>
      <c r="N795">
        <f t="shared" si="24"/>
        <v>2025</v>
      </c>
      <c r="O795" t="str">
        <f t="shared" si="25"/>
        <v>April</v>
      </c>
    </row>
    <row r="796" spans="1:15" x14ac:dyDescent="0.2">
      <c r="A796" t="s">
        <v>905</v>
      </c>
      <c r="B796" s="7">
        <v>45716</v>
      </c>
      <c r="C796" t="s">
        <v>76</v>
      </c>
      <c r="D796" t="s">
        <v>30</v>
      </c>
      <c r="E796" t="s">
        <v>122</v>
      </c>
      <c r="F796" t="s">
        <v>160</v>
      </c>
      <c r="G796" t="s">
        <v>58</v>
      </c>
      <c r="H796" t="s">
        <v>95</v>
      </c>
      <c r="I796" s="3">
        <v>36334.800000000003</v>
      </c>
      <c r="J796">
        <v>4</v>
      </c>
      <c r="K796" s="5">
        <v>0.1</v>
      </c>
      <c r="L796" s="3">
        <v>4232.25</v>
      </c>
      <c r="M796" t="s">
        <v>20</v>
      </c>
      <c r="N796">
        <f t="shared" si="24"/>
        <v>2025</v>
      </c>
      <c r="O796" t="str">
        <f t="shared" si="25"/>
        <v>February</v>
      </c>
    </row>
    <row r="797" spans="1:15" x14ac:dyDescent="0.2">
      <c r="A797" t="s">
        <v>906</v>
      </c>
      <c r="B797" s="7">
        <v>45877</v>
      </c>
      <c r="C797" t="s">
        <v>22</v>
      </c>
      <c r="D797" t="s">
        <v>30</v>
      </c>
      <c r="E797" t="s">
        <v>52</v>
      </c>
      <c r="F797" t="s">
        <v>53</v>
      </c>
      <c r="G797" t="s">
        <v>18</v>
      </c>
      <c r="H797" t="s">
        <v>70</v>
      </c>
      <c r="I797" s="3">
        <v>96147</v>
      </c>
      <c r="J797">
        <v>6</v>
      </c>
      <c r="K797" s="5">
        <v>0.1</v>
      </c>
      <c r="L797" s="3">
        <v>8564.98</v>
      </c>
      <c r="M797" t="s">
        <v>40</v>
      </c>
      <c r="N797">
        <f t="shared" si="24"/>
        <v>2025</v>
      </c>
      <c r="O797" t="str">
        <f t="shared" si="25"/>
        <v>August</v>
      </c>
    </row>
    <row r="798" spans="1:15" x14ac:dyDescent="0.2">
      <c r="A798" t="s">
        <v>907</v>
      </c>
      <c r="B798" s="7">
        <v>45821</v>
      </c>
      <c r="C798" t="s">
        <v>55</v>
      </c>
      <c r="D798" t="s">
        <v>15</v>
      </c>
      <c r="E798" t="s">
        <v>61</v>
      </c>
      <c r="F798" t="s">
        <v>111</v>
      </c>
      <c r="G798" t="s">
        <v>33</v>
      </c>
      <c r="H798" t="s">
        <v>109</v>
      </c>
      <c r="I798" s="3">
        <v>4825.45</v>
      </c>
      <c r="J798">
        <v>7</v>
      </c>
      <c r="K798" s="5">
        <v>0.15</v>
      </c>
      <c r="L798" s="3">
        <v>1077.69</v>
      </c>
      <c r="M798" t="s">
        <v>49</v>
      </c>
      <c r="N798">
        <f t="shared" si="24"/>
        <v>2025</v>
      </c>
      <c r="O798" t="str">
        <f t="shared" si="25"/>
        <v>June</v>
      </c>
    </row>
    <row r="799" spans="1:15" x14ac:dyDescent="0.2">
      <c r="A799" t="s">
        <v>908</v>
      </c>
      <c r="B799" s="7">
        <v>45500</v>
      </c>
      <c r="C799" t="s">
        <v>37</v>
      </c>
      <c r="D799" t="s">
        <v>23</v>
      </c>
      <c r="E799" t="s">
        <v>82</v>
      </c>
      <c r="F799" t="s">
        <v>240</v>
      </c>
      <c r="G799" t="s">
        <v>33</v>
      </c>
      <c r="H799" t="s">
        <v>128</v>
      </c>
      <c r="I799" s="3">
        <v>375379.20000000001</v>
      </c>
      <c r="J799">
        <v>7</v>
      </c>
      <c r="K799" s="5">
        <v>0.05</v>
      </c>
      <c r="L799" s="3">
        <v>96562.57</v>
      </c>
      <c r="M799" t="s">
        <v>20</v>
      </c>
      <c r="N799">
        <f t="shared" si="24"/>
        <v>2024</v>
      </c>
      <c r="O799" t="str">
        <f t="shared" si="25"/>
        <v>July</v>
      </c>
    </row>
    <row r="800" spans="1:15" x14ac:dyDescent="0.2">
      <c r="A800" t="s">
        <v>909</v>
      </c>
      <c r="B800" s="7">
        <v>45941</v>
      </c>
      <c r="C800" t="s">
        <v>45</v>
      </c>
      <c r="D800" t="s">
        <v>23</v>
      </c>
      <c r="E800" t="s">
        <v>38</v>
      </c>
      <c r="F800" t="s">
        <v>140</v>
      </c>
      <c r="G800" t="s">
        <v>18</v>
      </c>
      <c r="H800" t="s">
        <v>26</v>
      </c>
      <c r="I800" s="3">
        <v>73478.7</v>
      </c>
      <c r="J800">
        <v>2</v>
      </c>
      <c r="K800" s="5">
        <v>0.05</v>
      </c>
      <c r="L800" s="3">
        <v>19411.810000000001</v>
      </c>
      <c r="M800" t="s">
        <v>40</v>
      </c>
      <c r="N800">
        <f t="shared" si="24"/>
        <v>2025</v>
      </c>
      <c r="O800" t="str">
        <f t="shared" si="25"/>
        <v>October</v>
      </c>
    </row>
    <row r="801" spans="1:15" x14ac:dyDescent="0.2">
      <c r="A801" t="s">
        <v>910</v>
      </c>
      <c r="B801" s="7">
        <v>45439</v>
      </c>
      <c r="C801" t="s">
        <v>14</v>
      </c>
      <c r="D801" t="s">
        <v>23</v>
      </c>
      <c r="E801" t="s">
        <v>24</v>
      </c>
      <c r="F801" t="s">
        <v>25</v>
      </c>
      <c r="G801" t="s">
        <v>42</v>
      </c>
      <c r="H801" t="s">
        <v>98</v>
      </c>
      <c r="I801" s="3">
        <v>195196</v>
      </c>
      <c r="J801">
        <v>4</v>
      </c>
      <c r="K801" s="5">
        <v>0</v>
      </c>
      <c r="L801" s="3">
        <v>26350.09</v>
      </c>
      <c r="M801" t="s">
        <v>35</v>
      </c>
      <c r="N801">
        <f t="shared" si="24"/>
        <v>2024</v>
      </c>
      <c r="O801" t="str">
        <f t="shared" si="25"/>
        <v>May</v>
      </c>
    </row>
    <row r="802" spans="1:15" x14ac:dyDescent="0.2">
      <c r="A802" t="s">
        <v>911</v>
      </c>
      <c r="B802" s="7">
        <v>45662</v>
      </c>
      <c r="C802" t="s">
        <v>76</v>
      </c>
      <c r="D802" t="s">
        <v>23</v>
      </c>
      <c r="E802" t="s">
        <v>82</v>
      </c>
      <c r="F802" t="s">
        <v>265</v>
      </c>
      <c r="G802" t="s">
        <v>58</v>
      </c>
      <c r="H802" t="s">
        <v>95</v>
      </c>
      <c r="I802" s="3">
        <v>59133</v>
      </c>
      <c r="J802">
        <v>3</v>
      </c>
      <c r="K802" s="5">
        <v>0</v>
      </c>
      <c r="L802" s="3">
        <v>5645.8</v>
      </c>
      <c r="M802" t="s">
        <v>49</v>
      </c>
      <c r="N802">
        <f t="shared" si="24"/>
        <v>2025</v>
      </c>
      <c r="O802" t="str">
        <f t="shared" si="25"/>
        <v>January</v>
      </c>
    </row>
    <row r="803" spans="1:15" x14ac:dyDescent="0.2">
      <c r="A803" t="s">
        <v>912</v>
      </c>
      <c r="B803" s="7">
        <v>45613</v>
      </c>
      <c r="C803" t="s">
        <v>29</v>
      </c>
      <c r="D803" t="s">
        <v>23</v>
      </c>
      <c r="E803" t="s">
        <v>38</v>
      </c>
      <c r="F803" t="s">
        <v>140</v>
      </c>
      <c r="G803" t="s">
        <v>18</v>
      </c>
      <c r="H803" t="s">
        <v>63</v>
      </c>
      <c r="I803" s="3">
        <v>435628.4</v>
      </c>
      <c r="J803">
        <v>8</v>
      </c>
      <c r="K803" s="5">
        <v>0.15</v>
      </c>
      <c r="L803" s="3">
        <v>51208.5</v>
      </c>
      <c r="M803" t="s">
        <v>40</v>
      </c>
      <c r="N803">
        <f t="shared" si="24"/>
        <v>2024</v>
      </c>
      <c r="O803" t="str">
        <f t="shared" si="25"/>
        <v>November</v>
      </c>
    </row>
    <row r="804" spans="1:15" x14ac:dyDescent="0.2">
      <c r="A804" t="s">
        <v>913</v>
      </c>
      <c r="B804" s="7">
        <v>45906</v>
      </c>
      <c r="C804" t="s">
        <v>51</v>
      </c>
      <c r="D804" t="s">
        <v>23</v>
      </c>
      <c r="E804" t="s">
        <v>79</v>
      </c>
      <c r="F804" t="s">
        <v>93</v>
      </c>
      <c r="G804" t="s">
        <v>18</v>
      </c>
      <c r="H804" t="s">
        <v>26</v>
      </c>
      <c r="I804" s="3">
        <v>7548.85</v>
      </c>
      <c r="J804">
        <v>1</v>
      </c>
      <c r="K804" s="5">
        <v>0.15</v>
      </c>
      <c r="L804" s="3">
        <v>1822.92</v>
      </c>
      <c r="M804" t="s">
        <v>20</v>
      </c>
      <c r="N804">
        <f t="shared" si="24"/>
        <v>2025</v>
      </c>
      <c r="O804" t="str">
        <f t="shared" si="25"/>
        <v>September</v>
      </c>
    </row>
    <row r="805" spans="1:15" x14ac:dyDescent="0.2">
      <c r="A805" t="s">
        <v>914</v>
      </c>
      <c r="B805" s="7">
        <v>45513</v>
      </c>
      <c r="C805" t="s">
        <v>45</v>
      </c>
      <c r="D805" t="s">
        <v>23</v>
      </c>
      <c r="E805" t="s">
        <v>172</v>
      </c>
      <c r="F805" t="s">
        <v>182</v>
      </c>
      <c r="G805" t="s">
        <v>42</v>
      </c>
      <c r="H805" t="s">
        <v>102</v>
      </c>
      <c r="I805" s="3">
        <v>29059.200000000001</v>
      </c>
      <c r="J805">
        <v>1</v>
      </c>
      <c r="K805" s="5">
        <v>0.2</v>
      </c>
      <c r="L805" s="3">
        <v>5294.36</v>
      </c>
      <c r="M805" t="s">
        <v>20</v>
      </c>
      <c r="N805">
        <f t="shared" si="24"/>
        <v>2024</v>
      </c>
      <c r="O805" t="str">
        <f t="shared" si="25"/>
        <v>August</v>
      </c>
    </row>
    <row r="806" spans="1:15" x14ac:dyDescent="0.2">
      <c r="A806" t="s">
        <v>915</v>
      </c>
      <c r="B806" s="7">
        <v>45386</v>
      </c>
      <c r="C806" t="s">
        <v>45</v>
      </c>
      <c r="D806" t="s">
        <v>23</v>
      </c>
      <c r="E806" t="s">
        <v>82</v>
      </c>
      <c r="F806" t="s">
        <v>265</v>
      </c>
      <c r="G806" t="s">
        <v>42</v>
      </c>
      <c r="H806" t="s">
        <v>98</v>
      </c>
      <c r="I806" s="3">
        <v>88007.4</v>
      </c>
      <c r="J806">
        <v>2</v>
      </c>
      <c r="K806" s="5">
        <v>0.1</v>
      </c>
      <c r="L806" s="3">
        <v>13316.84</v>
      </c>
      <c r="M806" t="s">
        <v>35</v>
      </c>
      <c r="N806">
        <f t="shared" si="24"/>
        <v>2024</v>
      </c>
      <c r="O806" t="str">
        <f t="shared" si="25"/>
        <v>April</v>
      </c>
    </row>
    <row r="807" spans="1:15" x14ac:dyDescent="0.2">
      <c r="A807" t="s">
        <v>916</v>
      </c>
      <c r="B807" s="7">
        <v>45579</v>
      </c>
      <c r="C807" t="s">
        <v>22</v>
      </c>
      <c r="D807" t="s">
        <v>15</v>
      </c>
      <c r="E807" t="s">
        <v>65</v>
      </c>
      <c r="F807" t="s">
        <v>66</v>
      </c>
      <c r="G807" t="s">
        <v>58</v>
      </c>
      <c r="H807" t="s">
        <v>59</v>
      </c>
      <c r="I807" s="3">
        <v>7474.6</v>
      </c>
      <c r="J807">
        <v>7</v>
      </c>
      <c r="K807" s="5">
        <v>0.05</v>
      </c>
      <c r="L807" s="3">
        <v>800.34</v>
      </c>
      <c r="M807" t="s">
        <v>20</v>
      </c>
      <c r="N807">
        <f t="shared" si="24"/>
        <v>2024</v>
      </c>
      <c r="O807" t="str">
        <f t="shared" si="25"/>
        <v>October</v>
      </c>
    </row>
    <row r="808" spans="1:15" x14ac:dyDescent="0.2">
      <c r="A808" t="s">
        <v>917</v>
      </c>
      <c r="B808" s="7">
        <v>45618</v>
      </c>
      <c r="C808" t="s">
        <v>90</v>
      </c>
      <c r="D808" t="s">
        <v>15</v>
      </c>
      <c r="E808" t="s">
        <v>56</v>
      </c>
      <c r="F808" t="s">
        <v>88</v>
      </c>
      <c r="G808" t="s">
        <v>42</v>
      </c>
      <c r="H808" t="s">
        <v>98</v>
      </c>
      <c r="I808" s="3">
        <v>11744</v>
      </c>
      <c r="J808">
        <v>8</v>
      </c>
      <c r="K808" s="5">
        <v>0.2</v>
      </c>
      <c r="L808" s="3">
        <v>2107.06</v>
      </c>
      <c r="M808" t="s">
        <v>20</v>
      </c>
      <c r="N808">
        <f t="shared" si="24"/>
        <v>2024</v>
      </c>
      <c r="O808" t="str">
        <f t="shared" si="25"/>
        <v>November</v>
      </c>
    </row>
    <row r="809" spans="1:15" x14ac:dyDescent="0.2">
      <c r="A809" t="s">
        <v>918</v>
      </c>
      <c r="B809" s="7">
        <v>45815</v>
      </c>
      <c r="C809" t="s">
        <v>68</v>
      </c>
      <c r="D809" t="s">
        <v>15</v>
      </c>
      <c r="E809" t="s">
        <v>61</v>
      </c>
      <c r="F809" t="s">
        <v>144</v>
      </c>
      <c r="G809" t="s">
        <v>58</v>
      </c>
      <c r="H809" t="s">
        <v>74</v>
      </c>
      <c r="I809" s="3">
        <v>11058</v>
      </c>
      <c r="J809">
        <v>6</v>
      </c>
      <c r="K809" s="5">
        <v>0.05</v>
      </c>
      <c r="L809" s="3">
        <v>2713.52</v>
      </c>
      <c r="M809" t="s">
        <v>35</v>
      </c>
      <c r="N809">
        <f t="shared" si="24"/>
        <v>2025</v>
      </c>
      <c r="O809" t="str">
        <f t="shared" si="25"/>
        <v>June</v>
      </c>
    </row>
    <row r="810" spans="1:15" x14ac:dyDescent="0.2">
      <c r="A810" t="s">
        <v>919</v>
      </c>
      <c r="B810" s="7">
        <v>45366</v>
      </c>
      <c r="C810" t="s">
        <v>76</v>
      </c>
      <c r="D810" t="s">
        <v>30</v>
      </c>
      <c r="E810" t="s">
        <v>104</v>
      </c>
      <c r="F810" t="s">
        <v>105</v>
      </c>
      <c r="G810" t="s">
        <v>42</v>
      </c>
      <c r="H810" t="s">
        <v>43</v>
      </c>
      <c r="I810" s="3">
        <v>21608.7</v>
      </c>
      <c r="J810">
        <v>2</v>
      </c>
      <c r="K810" s="5">
        <v>0.05</v>
      </c>
      <c r="L810" s="3">
        <v>3004.67</v>
      </c>
      <c r="M810" t="s">
        <v>27</v>
      </c>
      <c r="N810">
        <f t="shared" si="24"/>
        <v>2024</v>
      </c>
      <c r="O810" t="str">
        <f t="shared" si="25"/>
        <v>March</v>
      </c>
    </row>
    <row r="811" spans="1:15" x14ac:dyDescent="0.2">
      <c r="A811" t="s">
        <v>920</v>
      </c>
      <c r="B811" s="7">
        <v>45621</v>
      </c>
      <c r="C811" t="s">
        <v>76</v>
      </c>
      <c r="D811" t="s">
        <v>30</v>
      </c>
      <c r="E811" t="s">
        <v>31</v>
      </c>
      <c r="F811" t="s">
        <v>32</v>
      </c>
      <c r="G811" t="s">
        <v>42</v>
      </c>
      <c r="H811" t="s">
        <v>102</v>
      </c>
      <c r="I811" s="3">
        <v>6594.9</v>
      </c>
      <c r="J811">
        <v>6</v>
      </c>
      <c r="K811" s="5">
        <v>0.05</v>
      </c>
      <c r="L811" s="3">
        <v>1058.98</v>
      </c>
      <c r="M811" t="s">
        <v>35</v>
      </c>
      <c r="N811">
        <f t="shared" si="24"/>
        <v>2024</v>
      </c>
      <c r="O811" t="str">
        <f t="shared" si="25"/>
        <v>November</v>
      </c>
    </row>
    <row r="812" spans="1:15" x14ac:dyDescent="0.2">
      <c r="A812" t="s">
        <v>921</v>
      </c>
      <c r="B812" s="7">
        <v>45723</v>
      </c>
      <c r="C812" t="s">
        <v>22</v>
      </c>
      <c r="D812" t="s">
        <v>23</v>
      </c>
      <c r="E812" t="s">
        <v>38</v>
      </c>
      <c r="F812" t="s">
        <v>39</v>
      </c>
      <c r="G812" t="s">
        <v>42</v>
      </c>
      <c r="H812" t="s">
        <v>98</v>
      </c>
      <c r="I812" s="3">
        <v>25420.799999999999</v>
      </c>
      <c r="J812">
        <v>4</v>
      </c>
      <c r="K812" s="5">
        <v>0.2</v>
      </c>
      <c r="L812" s="3">
        <v>5301.07</v>
      </c>
      <c r="M812" t="s">
        <v>27</v>
      </c>
      <c r="N812">
        <f t="shared" si="24"/>
        <v>2025</v>
      </c>
      <c r="O812" t="str">
        <f t="shared" si="25"/>
        <v>March</v>
      </c>
    </row>
    <row r="813" spans="1:15" x14ac:dyDescent="0.2">
      <c r="A813" t="s">
        <v>922</v>
      </c>
      <c r="B813" s="7">
        <v>45467</v>
      </c>
      <c r="C813" t="s">
        <v>90</v>
      </c>
      <c r="D813" t="s">
        <v>30</v>
      </c>
      <c r="E813" t="s">
        <v>31</v>
      </c>
      <c r="F813" t="s">
        <v>97</v>
      </c>
      <c r="G813" t="s">
        <v>33</v>
      </c>
      <c r="H813" t="s">
        <v>128</v>
      </c>
      <c r="I813" s="3">
        <v>78336</v>
      </c>
      <c r="J813">
        <v>8</v>
      </c>
      <c r="K813" s="5">
        <v>0</v>
      </c>
      <c r="L813" s="3">
        <v>8211.06</v>
      </c>
      <c r="M813" t="s">
        <v>27</v>
      </c>
      <c r="N813">
        <f t="shared" si="24"/>
        <v>2024</v>
      </c>
      <c r="O813" t="str">
        <f t="shared" si="25"/>
        <v>June</v>
      </c>
    </row>
    <row r="814" spans="1:15" x14ac:dyDescent="0.2">
      <c r="A814" t="s">
        <v>923</v>
      </c>
      <c r="B814" s="7">
        <v>45704</v>
      </c>
      <c r="C814" t="s">
        <v>14</v>
      </c>
      <c r="D814" t="s">
        <v>15</v>
      </c>
      <c r="E814" t="s">
        <v>61</v>
      </c>
      <c r="F814" t="s">
        <v>62</v>
      </c>
      <c r="G814" t="s">
        <v>33</v>
      </c>
      <c r="H814" t="s">
        <v>128</v>
      </c>
      <c r="I814" s="3">
        <v>1791.9</v>
      </c>
      <c r="J814">
        <v>1</v>
      </c>
      <c r="K814" s="5">
        <v>0.1</v>
      </c>
      <c r="L814" s="3">
        <v>145.52000000000001</v>
      </c>
      <c r="M814" t="s">
        <v>35</v>
      </c>
      <c r="N814">
        <f t="shared" si="24"/>
        <v>2025</v>
      </c>
      <c r="O814" t="str">
        <f t="shared" si="25"/>
        <v>February</v>
      </c>
    </row>
    <row r="815" spans="1:15" x14ac:dyDescent="0.2">
      <c r="A815" t="s">
        <v>924</v>
      </c>
      <c r="B815" s="7">
        <v>45646</v>
      </c>
      <c r="C815" t="s">
        <v>22</v>
      </c>
      <c r="D815" t="s">
        <v>15</v>
      </c>
      <c r="E815" t="s">
        <v>16</v>
      </c>
      <c r="F815" t="s">
        <v>17</v>
      </c>
      <c r="G815" t="s">
        <v>42</v>
      </c>
      <c r="H815" t="s">
        <v>102</v>
      </c>
      <c r="I815" s="3">
        <v>9590.4</v>
      </c>
      <c r="J815">
        <v>8</v>
      </c>
      <c r="K815" s="5">
        <v>0.1</v>
      </c>
      <c r="L815" s="3">
        <v>1135.8699999999999</v>
      </c>
      <c r="M815" t="s">
        <v>20</v>
      </c>
      <c r="N815">
        <f t="shared" si="24"/>
        <v>2024</v>
      </c>
      <c r="O815" t="str">
        <f t="shared" si="25"/>
        <v>December</v>
      </c>
    </row>
    <row r="816" spans="1:15" x14ac:dyDescent="0.2">
      <c r="A816" t="s">
        <v>925</v>
      </c>
      <c r="B816" s="7">
        <v>45924</v>
      </c>
      <c r="C816" t="s">
        <v>37</v>
      </c>
      <c r="D816" t="s">
        <v>15</v>
      </c>
      <c r="E816" t="s">
        <v>65</v>
      </c>
      <c r="F816" t="s">
        <v>66</v>
      </c>
      <c r="G816" t="s">
        <v>58</v>
      </c>
      <c r="H816" t="s">
        <v>95</v>
      </c>
      <c r="I816" s="3">
        <v>10600</v>
      </c>
      <c r="J816">
        <v>5</v>
      </c>
      <c r="K816" s="5">
        <v>0</v>
      </c>
      <c r="L816" s="3">
        <v>2635.32</v>
      </c>
      <c r="M816" t="s">
        <v>20</v>
      </c>
      <c r="N816">
        <f t="shared" si="24"/>
        <v>2025</v>
      </c>
      <c r="O816" t="str">
        <f t="shared" si="25"/>
        <v>September</v>
      </c>
    </row>
    <row r="817" spans="1:15" x14ac:dyDescent="0.2">
      <c r="A817" t="s">
        <v>926</v>
      </c>
      <c r="B817" s="7">
        <v>45669</v>
      </c>
      <c r="C817" t="s">
        <v>51</v>
      </c>
      <c r="D817" t="s">
        <v>23</v>
      </c>
      <c r="E817" t="s">
        <v>82</v>
      </c>
      <c r="F817" t="s">
        <v>265</v>
      </c>
      <c r="G817" t="s">
        <v>18</v>
      </c>
      <c r="H817" t="s">
        <v>26</v>
      </c>
      <c r="I817" s="3">
        <v>328610.7</v>
      </c>
      <c r="J817">
        <v>6</v>
      </c>
      <c r="K817" s="5">
        <v>0.05</v>
      </c>
      <c r="L817" s="3">
        <v>27965.87</v>
      </c>
      <c r="M817" t="s">
        <v>20</v>
      </c>
      <c r="N817">
        <f t="shared" si="24"/>
        <v>2025</v>
      </c>
      <c r="O817" t="str">
        <f t="shared" si="25"/>
        <v>January</v>
      </c>
    </row>
    <row r="818" spans="1:15" x14ac:dyDescent="0.2">
      <c r="A818" t="s">
        <v>927</v>
      </c>
      <c r="B818" s="7">
        <v>45919</v>
      </c>
      <c r="C818" t="s">
        <v>22</v>
      </c>
      <c r="D818" t="s">
        <v>15</v>
      </c>
      <c r="E818" t="s">
        <v>16</v>
      </c>
      <c r="F818" t="s">
        <v>17</v>
      </c>
      <c r="G818" t="s">
        <v>42</v>
      </c>
      <c r="H818" t="s">
        <v>102</v>
      </c>
      <c r="I818" s="3">
        <v>366.3</v>
      </c>
      <c r="J818">
        <v>1</v>
      </c>
      <c r="K818" s="5">
        <v>0.1</v>
      </c>
      <c r="L818" s="3">
        <v>44.27</v>
      </c>
      <c r="M818" t="s">
        <v>27</v>
      </c>
      <c r="N818">
        <f t="shared" si="24"/>
        <v>2025</v>
      </c>
      <c r="O818" t="str">
        <f t="shared" si="25"/>
        <v>September</v>
      </c>
    </row>
    <row r="819" spans="1:15" x14ac:dyDescent="0.2">
      <c r="A819" t="s">
        <v>928</v>
      </c>
      <c r="B819" s="7">
        <v>45976</v>
      </c>
      <c r="C819" t="s">
        <v>37</v>
      </c>
      <c r="D819" t="s">
        <v>15</v>
      </c>
      <c r="E819" t="s">
        <v>46</v>
      </c>
      <c r="F819" t="s">
        <v>176</v>
      </c>
      <c r="G819" t="s">
        <v>33</v>
      </c>
      <c r="H819" t="s">
        <v>109</v>
      </c>
      <c r="I819" s="3">
        <v>6354.6</v>
      </c>
      <c r="J819">
        <v>3</v>
      </c>
      <c r="K819" s="5">
        <v>0.15</v>
      </c>
      <c r="L819" s="3">
        <v>1079.52</v>
      </c>
      <c r="M819" t="s">
        <v>35</v>
      </c>
      <c r="N819">
        <f t="shared" si="24"/>
        <v>2025</v>
      </c>
      <c r="O819" t="str">
        <f t="shared" si="25"/>
        <v>November</v>
      </c>
    </row>
    <row r="820" spans="1:15" x14ac:dyDescent="0.2">
      <c r="A820" t="s">
        <v>929</v>
      </c>
      <c r="B820" s="7">
        <v>45595</v>
      </c>
      <c r="C820" t="s">
        <v>37</v>
      </c>
      <c r="D820" t="s">
        <v>15</v>
      </c>
      <c r="E820" t="s">
        <v>46</v>
      </c>
      <c r="F820" t="s">
        <v>47</v>
      </c>
      <c r="G820" t="s">
        <v>58</v>
      </c>
      <c r="H820" t="s">
        <v>59</v>
      </c>
      <c r="I820" s="3">
        <v>6150</v>
      </c>
      <c r="J820">
        <v>6</v>
      </c>
      <c r="K820" s="5">
        <v>0</v>
      </c>
      <c r="L820" s="3">
        <v>816.49</v>
      </c>
      <c r="M820" t="s">
        <v>27</v>
      </c>
      <c r="N820">
        <f t="shared" si="24"/>
        <v>2024</v>
      </c>
      <c r="O820" t="str">
        <f t="shared" si="25"/>
        <v>October</v>
      </c>
    </row>
    <row r="821" spans="1:15" x14ac:dyDescent="0.2">
      <c r="A821" t="s">
        <v>930</v>
      </c>
      <c r="B821" s="7">
        <v>45686</v>
      </c>
      <c r="C821" t="s">
        <v>76</v>
      </c>
      <c r="D821" t="s">
        <v>15</v>
      </c>
      <c r="E821" t="s">
        <v>46</v>
      </c>
      <c r="F821" t="s">
        <v>176</v>
      </c>
      <c r="G821" t="s">
        <v>33</v>
      </c>
      <c r="H821" t="s">
        <v>128</v>
      </c>
      <c r="I821" s="3">
        <v>1162.8</v>
      </c>
      <c r="J821">
        <v>8</v>
      </c>
      <c r="K821" s="5">
        <v>0.05</v>
      </c>
      <c r="L821" s="3">
        <v>187.36</v>
      </c>
      <c r="M821" t="s">
        <v>49</v>
      </c>
      <c r="N821">
        <f t="shared" si="24"/>
        <v>2025</v>
      </c>
      <c r="O821" t="str">
        <f t="shared" si="25"/>
        <v>January</v>
      </c>
    </row>
    <row r="822" spans="1:15" x14ac:dyDescent="0.2">
      <c r="A822" t="s">
        <v>931</v>
      </c>
      <c r="B822" s="7">
        <v>45516</v>
      </c>
      <c r="C822" t="s">
        <v>45</v>
      </c>
      <c r="D822" t="s">
        <v>23</v>
      </c>
      <c r="E822" t="s">
        <v>79</v>
      </c>
      <c r="F822" t="s">
        <v>80</v>
      </c>
      <c r="G822" t="s">
        <v>33</v>
      </c>
      <c r="H822" t="s">
        <v>34</v>
      </c>
      <c r="I822" s="3">
        <v>353160</v>
      </c>
      <c r="J822">
        <v>8</v>
      </c>
      <c r="K822" s="5">
        <v>0</v>
      </c>
      <c r="L822" s="3">
        <v>92819.3</v>
      </c>
      <c r="M822" t="s">
        <v>49</v>
      </c>
      <c r="N822">
        <f t="shared" si="24"/>
        <v>2024</v>
      </c>
      <c r="O822" t="str">
        <f t="shared" si="25"/>
        <v>August</v>
      </c>
    </row>
    <row r="823" spans="1:15" x14ac:dyDescent="0.2">
      <c r="A823" t="s">
        <v>932</v>
      </c>
      <c r="B823" s="7">
        <v>45883</v>
      </c>
      <c r="C823" t="s">
        <v>37</v>
      </c>
      <c r="D823" t="s">
        <v>30</v>
      </c>
      <c r="E823" t="s">
        <v>72</v>
      </c>
      <c r="F823" t="s">
        <v>217</v>
      </c>
      <c r="G823" t="s">
        <v>33</v>
      </c>
      <c r="H823" t="s">
        <v>109</v>
      </c>
      <c r="I823" s="3">
        <v>26393.4</v>
      </c>
      <c r="J823">
        <v>2</v>
      </c>
      <c r="K823" s="5">
        <v>0.1</v>
      </c>
      <c r="L823" s="3">
        <v>6474.27</v>
      </c>
      <c r="M823" t="s">
        <v>40</v>
      </c>
      <c r="N823">
        <f t="shared" si="24"/>
        <v>2025</v>
      </c>
      <c r="O823" t="str">
        <f t="shared" si="25"/>
        <v>August</v>
      </c>
    </row>
    <row r="824" spans="1:15" x14ac:dyDescent="0.2">
      <c r="A824" t="s">
        <v>933</v>
      </c>
      <c r="B824" s="7">
        <v>45755</v>
      </c>
      <c r="C824" t="s">
        <v>45</v>
      </c>
      <c r="D824" t="s">
        <v>30</v>
      </c>
      <c r="E824" t="s">
        <v>52</v>
      </c>
      <c r="F824" t="s">
        <v>53</v>
      </c>
      <c r="G824" t="s">
        <v>18</v>
      </c>
      <c r="H824" t="s">
        <v>26</v>
      </c>
      <c r="I824" s="3">
        <v>64878.8</v>
      </c>
      <c r="J824">
        <v>8</v>
      </c>
      <c r="K824" s="5">
        <v>0.15</v>
      </c>
      <c r="L824" s="3">
        <v>11345.82</v>
      </c>
      <c r="M824" t="s">
        <v>27</v>
      </c>
      <c r="N824">
        <f t="shared" si="24"/>
        <v>2025</v>
      </c>
      <c r="O824" t="str">
        <f t="shared" si="25"/>
        <v>April</v>
      </c>
    </row>
    <row r="825" spans="1:15" x14ac:dyDescent="0.2">
      <c r="A825" t="s">
        <v>934</v>
      </c>
      <c r="B825" s="7">
        <v>45346</v>
      </c>
      <c r="C825" t="s">
        <v>29</v>
      </c>
      <c r="D825" t="s">
        <v>23</v>
      </c>
      <c r="E825" t="s">
        <v>172</v>
      </c>
      <c r="F825" t="s">
        <v>210</v>
      </c>
      <c r="G825" t="s">
        <v>18</v>
      </c>
      <c r="H825" t="s">
        <v>19</v>
      </c>
      <c r="I825" s="3">
        <v>37641.4</v>
      </c>
      <c r="J825">
        <v>4</v>
      </c>
      <c r="K825" s="5">
        <v>0.15</v>
      </c>
      <c r="L825" s="3">
        <v>5423.57</v>
      </c>
      <c r="M825" t="s">
        <v>27</v>
      </c>
      <c r="N825">
        <f t="shared" si="24"/>
        <v>2024</v>
      </c>
      <c r="O825" t="str">
        <f t="shared" si="25"/>
        <v>February</v>
      </c>
    </row>
    <row r="826" spans="1:15" x14ac:dyDescent="0.2">
      <c r="A826" t="s">
        <v>935</v>
      </c>
      <c r="B826" s="7">
        <v>45574</v>
      </c>
      <c r="C826" t="s">
        <v>51</v>
      </c>
      <c r="D826" t="s">
        <v>30</v>
      </c>
      <c r="E826" t="s">
        <v>52</v>
      </c>
      <c r="F826" t="s">
        <v>118</v>
      </c>
      <c r="G826" t="s">
        <v>18</v>
      </c>
      <c r="H826" t="s">
        <v>63</v>
      </c>
      <c r="I826" s="3">
        <v>62076.35</v>
      </c>
      <c r="J826">
        <v>7</v>
      </c>
      <c r="K826" s="5">
        <v>0.15</v>
      </c>
      <c r="L826" s="3">
        <v>4831.34</v>
      </c>
      <c r="M826" t="s">
        <v>35</v>
      </c>
      <c r="N826">
        <f t="shared" si="24"/>
        <v>2024</v>
      </c>
      <c r="O826" t="str">
        <f t="shared" si="25"/>
        <v>October</v>
      </c>
    </row>
    <row r="827" spans="1:15" x14ac:dyDescent="0.2">
      <c r="A827" t="s">
        <v>936</v>
      </c>
      <c r="B827" s="7">
        <v>45328</v>
      </c>
      <c r="C827" t="s">
        <v>90</v>
      </c>
      <c r="D827" t="s">
        <v>30</v>
      </c>
      <c r="E827" t="s">
        <v>72</v>
      </c>
      <c r="F827" t="s">
        <v>73</v>
      </c>
      <c r="G827" t="s">
        <v>58</v>
      </c>
      <c r="H827" t="s">
        <v>95</v>
      </c>
      <c r="I827" s="3">
        <v>8509.15</v>
      </c>
      <c r="J827">
        <v>1</v>
      </c>
      <c r="K827" s="5">
        <v>0.05</v>
      </c>
      <c r="L827" s="3">
        <v>770.4</v>
      </c>
      <c r="M827" t="s">
        <v>27</v>
      </c>
      <c r="N827">
        <f t="shared" si="24"/>
        <v>2024</v>
      </c>
      <c r="O827" t="str">
        <f t="shared" si="25"/>
        <v>February</v>
      </c>
    </row>
    <row r="828" spans="1:15" x14ac:dyDescent="0.2">
      <c r="A828" t="s">
        <v>937</v>
      </c>
      <c r="B828" s="7">
        <v>46000</v>
      </c>
      <c r="C828" t="s">
        <v>68</v>
      </c>
      <c r="D828" t="s">
        <v>23</v>
      </c>
      <c r="E828" t="s">
        <v>82</v>
      </c>
      <c r="F828" t="s">
        <v>265</v>
      </c>
      <c r="G828" t="s">
        <v>18</v>
      </c>
      <c r="H828" t="s">
        <v>19</v>
      </c>
      <c r="I828" s="3">
        <v>178778.6</v>
      </c>
      <c r="J828">
        <v>7</v>
      </c>
      <c r="K828" s="5">
        <v>0.05</v>
      </c>
      <c r="L828" s="3">
        <v>38309.550000000003</v>
      </c>
      <c r="M828" t="s">
        <v>49</v>
      </c>
      <c r="N828">
        <f t="shared" si="24"/>
        <v>2025</v>
      </c>
      <c r="O828" t="str">
        <f t="shared" si="25"/>
        <v>December</v>
      </c>
    </row>
    <row r="829" spans="1:15" x14ac:dyDescent="0.2">
      <c r="A829" t="s">
        <v>938</v>
      </c>
      <c r="B829" s="7">
        <v>46009</v>
      </c>
      <c r="C829" t="s">
        <v>90</v>
      </c>
      <c r="D829" t="s">
        <v>23</v>
      </c>
      <c r="E829" t="s">
        <v>24</v>
      </c>
      <c r="F829" t="s">
        <v>25</v>
      </c>
      <c r="G829" t="s">
        <v>33</v>
      </c>
      <c r="H829" t="s">
        <v>34</v>
      </c>
      <c r="I829" s="3">
        <v>237290</v>
      </c>
      <c r="J829">
        <v>5</v>
      </c>
      <c r="K829" s="5">
        <v>0</v>
      </c>
      <c r="L829" s="3">
        <v>27766.67</v>
      </c>
      <c r="M829" t="s">
        <v>49</v>
      </c>
      <c r="N829">
        <f t="shared" si="24"/>
        <v>2025</v>
      </c>
      <c r="O829" t="str">
        <f t="shared" si="25"/>
        <v>December</v>
      </c>
    </row>
    <row r="830" spans="1:15" x14ac:dyDescent="0.2">
      <c r="A830" t="s">
        <v>939</v>
      </c>
      <c r="B830" s="7">
        <v>45305</v>
      </c>
      <c r="C830" t="s">
        <v>29</v>
      </c>
      <c r="D830" t="s">
        <v>15</v>
      </c>
      <c r="E830" t="s">
        <v>65</v>
      </c>
      <c r="F830" t="s">
        <v>66</v>
      </c>
      <c r="G830" t="s">
        <v>33</v>
      </c>
      <c r="H830" t="s">
        <v>48</v>
      </c>
      <c r="I830" s="3">
        <v>2482</v>
      </c>
      <c r="J830">
        <v>2</v>
      </c>
      <c r="K830" s="5">
        <v>0.15</v>
      </c>
      <c r="L830" s="3">
        <v>175.89</v>
      </c>
      <c r="M830" t="s">
        <v>49</v>
      </c>
      <c r="N830">
        <f t="shared" si="24"/>
        <v>2024</v>
      </c>
      <c r="O830" t="str">
        <f t="shared" si="25"/>
        <v>January</v>
      </c>
    </row>
    <row r="831" spans="1:15" x14ac:dyDescent="0.2">
      <c r="A831" t="s">
        <v>940</v>
      </c>
      <c r="B831" s="7">
        <v>45792</v>
      </c>
      <c r="C831" t="s">
        <v>76</v>
      </c>
      <c r="D831" t="s">
        <v>30</v>
      </c>
      <c r="E831" t="s">
        <v>52</v>
      </c>
      <c r="F831" t="s">
        <v>53</v>
      </c>
      <c r="G831" t="s">
        <v>33</v>
      </c>
      <c r="H831" t="s">
        <v>34</v>
      </c>
      <c r="I831" s="3">
        <v>2850.9</v>
      </c>
      <c r="J831">
        <v>3</v>
      </c>
      <c r="K831" s="5">
        <v>0.15</v>
      </c>
      <c r="L831" s="3">
        <v>453.67</v>
      </c>
      <c r="M831" t="s">
        <v>49</v>
      </c>
      <c r="N831">
        <f t="shared" si="24"/>
        <v>2025</v>
      </c>
      <c r="O831" t="str">
        <f t="shared" si="25"/>
        <v>May</v>
      </c>
    </row>
    <row r="832" spans="1:15" x14ac:dyDescent="0.2">
      <c r="A832" t="s">
        <v>941</v>
      </c>
      <c r="B832" s="7">
        <v>45635</v>
      </c>
      <c r="C832" t="s">
        <v>29</v>
      </c>
      <c r="D832" t="s">
        <v>23</v>
      </c>
      <c r="E832" t="s">
        <v>82</v>
      </c>
      <c r="F832" t="s">
        <v>265</v>
      </c>
      <c r="G832" t="s">
        <v>18</v>
      </c>
      <c r="H832" t="s">
        <v>19</v>
      </c>
      <c r="I832" s="3">
        <v>152037</v>
      </c>
      <c r="J832">
        <v>3</v>
      </c>
      <c r="K832" s="5">
        <v>0</v>
      </c>
      <c r="L832" s="3">
        <v>21425.119999999999</v>
      </c>
      <c r="M832" t="s">
        <v>49</v>
      </c>
      <c r="N832">
        <f t="shared" si="24"/>
        <v>2024</v>
      </c>
      <c r="O832" t="str">
        <f t="shared" si="25"/>
        <v>December</v>
      </c>
    </row>
    <row r="833" spans="1:15" x14ac:dyDescent="0.2">
      <c r="A833" t="s">
        <v>942</v>
      </c>
      <c r="B833" s="7">
        <v>45822</v>
      </c>
      <c r="C833" t="s">
        <v>90</v>
      </c>
      <c r="D833" t="s">
        <v>15</v>
      </c>
      <c r="E833" t="s">
        <v>65</v>
      </c>
      <c r="F833" t="s">
        <v>66</v>
      </c>
      <c r="G833" t="s">
        <v>42</v>
      </c>
      <c r="H833" t="s">
        <v>43</v>
      </c>
      <c r="I833" s="3">
        <v>8337.6</v>
      </c>
      <c r="J833">
        <v>6</v>
      </c>
      <c r="K833" s="5">
        <v>0.1</v>
      </c>
      <c r="L833" s="3">
        <v>1642.77</v>
      </c>
      <c r="M833" t="s">
        <v>49</v>
      </c>
      <c r="N833">
        <f t="shared" si="24"/>
        <v>2025</v>
      </c>
      <c r="O833" t="str">
        <f t="shared" si="25"/>
        <v>June</v>
      </c>
    </row>
    <row r="834" spans="1:15" x14ac:dyDescent="0.2">
      <c r="A834" t="s">
        <v>943</v>
      </c>
      <c r="B834" s="7">
        <v>45883</v>
      </c>
      <c r="C834" t="s">
        <v>22</v>
      </c>
      <c r="D834" t="s">
        <v>23</v>
      </c>
      <c r="E834" t="s">
        <v>79</v>
      </c>
      <c r="F834" t="s">
        <v>80</v>
      </c>
      <c r="G834" t="s">
        <v>18</v>
      </c>
      <c r="H834" t="s">
        <v>26</v>
      </c>
      <c r="I834" s="3">
        <v>151000.79999999999</v>
      </c>
      <c r="J834">
        <v>4</v>
      </c>
      <c r="K834" s="5">
        <v>0.15</v>
      </c>
      <c r="L834" s="3">
        <v>7350.86</v>
      </c>
      <c r="M834" t="s">
        <v>27</v>
      </c>
      <c r="N834">
        <f t="shared" ref="N834:N897" si="26">YEAR(B834)</f>
        <v>2025</v>
      </c>
      <c r="O834" t="str">
        <f t="shared" ref="O834:O897" si="27">TEXT(B834,"mmmm")</f>
        <v>August</v>
      </c>
    </row>
    <row r="835" spans="1:15" x14ac:dyDescent="0.2">
      <c r="A835" t="s">
        <v>944</v>
      </c>
      <c r="B835" s="7">
        <v>45831</v>
      </c>
      <c r="C835" t="s">
        <v>55</v>
      </c>
      <c r="D835" t="s">
        <v>23</v>
      </c>
      <c r="E835" t="s">
        <v>82</v>
      </c>
      <c r="F835" t="s">
        <v>240</v>
      </c>
      <c r="G835" t="s">
        <v>33</v>
      </c>
      <c r="H835" t="s">
        <v>109</v>
      </c>
      <c r="I835" s="3">
        <v>109600.7</v>
      </c>
      <c r="J835">
        <v>2</v>
      </c>
      <c r="K835" s="5">
        <v>0.15</v>
      </c>
      <c r="L835" s="3">
        <v>26300.48</v>
      </c>
      <c r="M835" t="s">
        <v>27</v>
      </c>
      <c r="N835">
        <f t="shared" si="26"/>
        <v>2025</v>
      </c>
      <c r="O835" t="str">
        <f t="shared" si="27"/>
        <v>June</v>
      </c>
    </row>
    <row r="836" spans="1:15" x14ac:dyDescent="0.2">
      <c r="A836" t="s">
        <v>945</v>
      </c>
      <c r="B836" s="7">
        <v>45824</v>
      </c>
      <c r="C836" t="s">
        <v>45</v>
      </c>
      <c r="D836" t="s">
        <v>15</v>
      </c>
      <c r="E836" t="s">
        <v>65</v>
      </c>
      <c r="F836" t="s">
        <v>222</v>
      </c>
      <c r="G836" t="s">
        <v>42</v>
      </c>
      <c r="H836" t="s">
        <v>43</v>
      </c>
      <c r="I836" s="3">
        <v>9083.9</v>
      </c>
      <c r="J836">
        <v>7</v>
      </c>
      <c r="K836" s="5">
        <v>0.05</v>
      </c>
      <c r="L836" s="3">
        <v>687.83</v>
      </c>
      <c r="M836" t="s">
        <v>35</v>
      </c>
      <c r="N836">
        <f t="shared" si="26"/>
        <v>2025</v>
      </c>
      <c r="O836" t="str">
        <f t="shared" si="27"/>
        <v>June</v>
      </c>
    </row>
    <row r="837" spans="1:15" x14ac:dyDescent="0.2">
      <c r="A837" t="s">
        <v>946</v>
      </c>
      <c r="B837" s="7">
        <v>45445</v>
      </c>
      <c r="C837" t="s">
        <v>51</v>
      </c>
      <c r="D837" t="s">
        <v>23</v>
      </c>
      <c r="E837" t="s">
        <v>38</v>
      </c>
      <c r="F837" t="s">
        <v>91</v>
      </c>
      <c r="G837" t="s">
        <v>58</v>
      </c>
      <c r="H837" t="s">
        <v>84</v>
      </c>
      <c r="I837" s="3">
        <v>122996.5</v>
      </c>
      <c r="J837">
        <v>2</v>
      </c>
      <c r="K837" s="5">
        <v>0.05</v>
      </c>
      <c r="L837" s="3">
        <v>19773.349999999999</v>
      </c>
      <c r="M837" t="s">
        <v>27</v>
      </c>
      <c r="N837">
        <f t="shared" si="26"/>
        <v>2024</v>
      </c>
      <c r="O837" t="str">
        <f t="shared" si="27"/>
        <v>June</v>
      </c>
    </row>
    <row r="838" spans="1:15" x14ac:dyDescent="0.2">
      <c r="A838" t="s">
        <v>947</v>
      </c>
      <c r="B838" s="7">
        <v>45581</v>
      </c>
      <c r="C838" t="s">
        <v>90</v>
      </c>
      <c r="D838" t="s">
        <v>15</v>
      </c>
      <c r="E838" t="s">
        <v>56</v>
      </c>
      <c r="F838" t="s">
        <v>57</v>
      </c>
      <c r="G838" t="s">
        <v>33</v>
      </c>
      <c r="H838" t="s">
        <v>34</v>
      </c>
      <c r="I838" s="3">
        <v>692.75</v>
      </c>
      <c r="J838">
        <v>5</v>
      </c>
      <c r="K838" s="5">
        <v>0.15</v>
      </c>
      <c r="L838" s="3">
        <v>35.119999999999997</v>
      </c>
      <c r="M838" t="s">
        <v>20</v>
      </c>
      <c r="N838">
        <f t="shared" si="26"/>
        <v>2024</v>
      </c>
      <c r="O838" t="str">
        <f t="shared" si="27"/>
        <v>October</v>
      </c>
    </row>
    <row r="839" spans="1:15" x14ac:dyDescent="0.2">
      <c r="A839" t="s">
        <v>948</v>
      </c>
      <c r="B839" s="7">
        <v>45582</v>
      </c>
      <c r="C839" t="s">
        <v>51</v>
      </c>
      <c r="D839" t="s">
        <v>23</v>
      </c>
      <c r="E839" t="s">
        <v>38</v>
      </c>
      <c r="F839" t="s">
        <v>91</v>
      </c>
      <c r="G839" t="s">
        <v>42</v>
      </c>
      <c r="H839" t="s">
        <v>102</v>
      </c>
      <c r="I839" s="3">
        <v>240138</v>
      </c>
      <c r="J839">
        <v>6</v>
      </c>
      <c r="K839" s="5">
        <v>0.1</v>
      </c>
      <c r="L839" s="3">
        <v>19821.89</v>
      </c>
      <c r="M839" t="s">
        <v>35</v>
      </c>
      <c r="N839">
        <f t="shared" si="26"/>
        <v>2024</v>
      </c>
      <c r="O839" t="str">
        <f t="shared" si="27"/>
        <v>October</v>
      </c>
    </row>
    <row r="840" spans="1:15" x14ac:dyDescent="0.2">
      <c r="A840" t="s">
        <v>949</v>
      </c>
      <c r="B840" s="7">
        <v>45655</v>
      </c>
      <c r="C840" t="s">
        <v>76</v>
      </c>
      <c r="D840" t="s">
        <v>23</v>
      </c>
      <c r="E840" t="s">
        <v>82</v>
      </c>
      <c r="F840" t="s">
        <v>240</v>
      </c>
      <c r="G840" t="s">
        <v>42</v>
      </c>
      <c r="H840" t="s">
        <v>98</v>
      </c>
      <c r="I840" s="3">
        <v>112153.2</v>
      </c>
      <c r="J840">
        <v>4</v>
      </c>
      <c r="K840" s="5">
        <v>0.05</v>
      </c>
      <c r="L840" s="3">
        <v>8291.19</v>
      </c>
      <c r="M840" t="s">
        <v>49</v>
      </c>
      <c r="N840">
        <f t="shared" si="26"/>
        <v>2024</v>
      </c>
      <c r="O840" t="str">
        <f t="shared" si="27"/>
        <v>December</v>
      </c>
    </row>
    <row r="841" spans="1:15" x14ac:dyDescent="0.2">
      <c r="A841" t="s">
        <v>950</v>
      </c>
      <c r="B841" s="7">
        <v>45496</v>
      </c>
      <c r="C841" t="s">
        <v>68</v>
      </c>
      <c r="D841" t="s">
        <v>30</v>
      </c>
      <c r="E841" t="s">
        <v>122</v>
      </c>
      <c r="F841" t="s">
        <v>160</v>
      </c>
      <c r="G841" t="s">
        <v>18</v>
      </c>
      <c r="H841" t="s">
        <v>19</v>
      </c>
      <c r="I841" s="3">
        <v>60320</v>
      </c>
      <c r="J841">
        <v>5</v>
      </c>
      <c r="K841" s="5">
        <v>0.2</v>
      </c>
      <c r="L841" s="3">
        <v>3488.62</v>
      </c>
      <c r="M841" t="s">
        <v>40</v>
      </c>
      <c r="N841">
        <f t="shared" si="26"/>
        <v>2024</v>
      </c>
      <c r="O841" t="str">
        <f t="shared" si="27"/>
        <v>July</v>
      </c>
    </row>
    <row r="842" spans="1:15" x14ac:dyDescent="0.2">
      <c r="A842" t="s">
        <v>951</v>
      </c>
      <c r="B842" s="7">
        <v>45739</v>
      </c>
      <c r="C842" t="s">
        <v>37</v>
      </c>
      <c r="D842" t="s">
        <v>30</v>
      </c>
      <c r="E842" t="s">
        <v>72</v>
      </c>
      <c r="F842" t="s">
        <v>207</v>
      </c>
      <c r="G842" t="s">
        <v>33</v>
      </c>
      <c r="H842" t="s">
        <v>34</v>
      </c>
      <c r="I842" s="3">
        <v>30230.9</v>
      </c>
      <c r="J842">
        <v>2</v>
      </c>
      <c r="K842" s="5">
        <v>0.05</v>
      </c>
      <c r="L842" s="3">
        <v>4313.74</v>
      </c>
      <c r="M842" t="s">
        <v>40</v>
      </c>
      <c r="N842">
        <f t="shared" si="26"/>
        <v>2025</v>
      </c>
      <c r="O842" t="str">
        <f t="shared" si="27"/>
        <v>March</v>
      </c>
    </row>
    <row r="843" spans="1:15" x14ac:dyDescent="0.2">
      <c r="A843" t="s">
        <v>952</v>
      </c>
      <c r="B843" s="7">
        <v>45864</v>
      </c>
      <c r="C843" t="s">
        <v>14</v>
      </c>
      <c r="D843" t="s">
        <v>15</v>
      </c>
      <c r="E843" t="s">
        <v>61</v>
      </c>
      <c r="F843" t="s">
        <v>62</v>
      </c>
      <c r="G843" t="s">
        <v>42</v>
      </c>
      <c r="H843" t="s">
        <v>119</v>
      </c>
      <c r="I843" s="3">
        <v>9292.2000000000007</v>
      </c>
      <c r="J843">
        <v>6</v>
      </c>
      <c r="K843" s="5">
        <v>0.15</v>
      </c>
      <c r="L843" s="3">
        <v>1252.19</v>
      </c>
      <c r="M843" t="s">
        <v>49</v>
      </c>
      <c r="N843">
        <f t="shared" si="26"/>
        <v>2025</v>
      </c>
      <c r="O843" t="str">
        <f t="shared" si="27"/>
        <v>July</v>
      </c>
    </row>
    <row r="844" spans="1:15" x14ac:dyDescent="0.2">
      <c r="A844" t="s">
        <v>953</v>
      </c>
      <c r="B844" s="7">
        <v>45978</v>
      </c>
      <c r="C844" t="s">
        <v>14</v>
      </c>
      <c r="D844" t="s">
        <v>23</v>
      </c>
      <c r="E844" t="s">
        <v>24</v>
      </c>
      <c r="F844" t="s">
        <v>25</v>
      </c>
      <c r="G844" t="s">
        <v>42</v>
      </c>
      <c r="H844" t="s">
        <v>98</v>
      </c>
      <c r="I844" s="3">
        <v>48659.1</v>
      </c>
      <c r="J844">
        <v>6</v>
      </c>
      <c r="K844" s="5">
        <v>0.15</v>
      </c>
      <c r="L844" s="3">
        <v>3293.6</v>
      </c>
      <c r="M844" t="s">
        <v>49</v>
      </c>
      <c r="N844">
        <f t="shared" si="26"/>
        <v>2025</v>
      </c>
      <c r="O844" t="str">
        <f t="shared" si="27"/>
        <v>November</v>
      </c>
    </row>
    <row r="845" spans="1:15" x14ac:dyDescent="0.2">
      <c r="A845" t="s">
        <v>954</v>
      </c>
      <c r="B845" s="7">
        <v>45589</v>
      </c>
      <c r="C845" t="s">
        <v>90</v>
      </c>
      <c r="D845" t="s">
        <v>15</v>
      </c>
      <c r="E845" t="s">
        <v>61</v>
      </c>
      <c r="F845" t="s">
        <v>111</v>
      </c>
      <c r="G845" t="s">
        <v>18</v>
      </c>
      <c r="H845" t="s">
        <v>70</v>
      </c>
      <c r="I845" s="3">
        <v>5860</v>
      </c>
      <c r="J845">
        <v>5</v>
      </c>
      <c r="K845" s="5">
        <v>0.2</v>
      </c>
      <c r="L845" s="3">
        <v>289.95</v>
      </c>
      <c r="M845" t="s">
        <v>49</v>
      </c>
      <c r="N845">
        <f t="shared" si="26"/>
        <v>2024</v>
      </c>
      <c r="O845" t="str">
        <f t="shared" si="27"/>
        <v>October</v>
      </c>
    </row>
    <row r="846" spans="1:15" x14ac:dyDescent="0.2">
      <c r="A846" t="s">
        <v>955</v>
      </c>
      <c r="B846" s="7">
        <v>45799</v>
      </c>
      <c r="C846" t="s">
        <v>55</v>
      </c>
      <c r="D846" t="s">
        <v>15</v>
      </c>
      <c r="E846" t="s">
        <v>65</v>
      </c>
      <c r="F846" t="s">
        <v>222</v>
      </c>
      <c r="G846" t="s">
        <v>18</v>
      </c>
      <c r="H846" t="s">
        <v>70</v>
      </c>
      <c r="I846" s="3">
        <v>2103.3000000000002</v>
      </c>
      <c r="J846">
        <v>1</v>
      </c>
      <c r="K846" s="5">
        <v>0.05</v>
      </c>
      <c r="L846" s="3">
        <v>378.4</v>
      </c>
      <c r="M846" t="s">
        <v>40</v>
      </c>
      <c r="N846">
        <f t="shared" si="26"/>
        <v>2025</v>
      </c>
      <c r="O846" t="str">
        <f t="shared" si="27"/>
        <v>May</v>
      </c>
    </row>
    <row r="847" spans="1:15" x14ac:dyDescent="0.2">
      <c r="A847" t="s">
        <v>956</v>
      </c>
      <c r="B847" s="7">
        <v>45448</v>
      </c>
      <c r="C847" t="s">
        <v>90</v>
      </c>
      <c r="D847" t="s">
        <v>15</v>
      </c>
      <c r="E847" t="s">
        <v>46</v>
      </c>
      <c r="F847" t="s">
        <v>116</v>
      </c>
      <c r="G847" t="s">
        <v>42</v>
      </c>
      <c r="H847" t="s">
        <v>119</v>
      </c>
      <c r="I847" s="3">
        <v>922</v>
      </c>
      <c r="J847">
        <v>1</v>
      </c>
      <c r="K847" s="5">
        <v>0</v>
      </c>
      <c r="L847" s="3">
        <v>86.14</v>
      </c>
      <c r="M847" t="s">
        <v>20</v>
      </c>
      <c r="N847">
        <f t="shared" si="26"/>
        <v>2024</v>
      </c>
      <c r="O847" t="str">
        <f t="shared" si="27"/>
        <v>June</v>
      </c>
    </row>
    <row r="848" spans="1:15" x14ac:dyDescent="0.2">
      <c r="A848" t="s">
        <v>957</v>
      </c>
      <c r="B848" s="7">
        <v>45416</v>
      </c>
      <c r="C848" t="s">
        <v>68</v>
      </c>
      <c r="D848" t="s">
        <v>15</v>
      </c>
      <c r="E848" t="s">
        <v>16</v>
      </c>
      <c r="F848" t="s">
        <v>17</v>
      </c>
      <c r="G848" t="s">
        <v>33</v>
      </c>
      <c r="H848" t="s">
        <v>48</v>
      </c>
      <c r="I848" s="3">
        <v>13035.6</v>
      </c>
      <c r="J848">
        <v>8</v>
      </c>
      <c r="K848" s="5">
        <v>0.15</v>
      </c>
      <c r="L848" s="3">
        <v>699.11</v>
      </c>
      <c r="M848" t="s">
        <v>49</v>
      </c>
      <c r="N848">
        <f t="shared" si="26"/>
        <v>2024</v>
      </c>
      <c r="O848" t="str">
        <f t="shared" si="27"/>
        <v>May</v>
      </c>
    </row>
    <row r="849" spans="1:15" x14ac:dyDescent="0.2">
      <c r="A849" t="s">
        <v>958</v>
      </c>
      <c r="B849" s="7">
        <v>45481</v>
      </c>
      <c r="C849" t="s">
        <v>55</v>
      </c>
      <c r="D849" t="s">
        <v>30</v>
      </c>
      <c r="E849" t="s">
        <v>31</v>
      </c>
      <c r="F849" t="s">
        <v>188</v>
      </c>
      <c r="G849" t="s">
        <v>33</v>
      </c>
      <c r="H849" t="s">
        <v>34</v>
      </c>
      <c r="I849" s="3">
        <v>36753.599999999999</v>
      </c>
      <c r="J849">
        <v>8</v>
      </c>
      <c r="K849" s="5">
        <v>0.05</v>
      </c>
      <c r="L849" s="3">
        <v>7157.38</v>
      </c>
      <c r="M849" t="s">
        <v>40</v>
      </c>
      <c r="N849">
        <f t="shared" si="26"/>
        <v>2024</v>
      </c>
      <c r="O849" t="str">
        <f t="shared" si="27"/>
        <v>July</v>
      </c>
    </row>
    <row r="850" spans="1:15" x14ac:dyDescent="0.2">
      <c r="A850" t="s">
        <v>959</v>
      </c>
      <c r="B850" s="7">
        <v>45692</v>
      </c>
      <c r="C850" t="s">
        <v>22</v>
      </c>
      <c r="D850" t="s">
        <v>23</v>
      </c>
      <c r="E850" t="s">
        <v>172</v>
      </c>
      <c r="F850" t="s">
        <v>210</v>
      </c>
      <c r="G850" t="s">
        <v>33</v>
      </c>
      <c r="H850" t="s">
        <v>109</v>
      </c>
      <c r="I850" s="3">
        <v>90760.5</v>
      </c>
      <c r="J850">
        <v>5</v>
      </c>
      <c r="K850" s="5">
        <v>0.1</v>
      </c>
      <c r="L850" s="3">
        <v>17111.98</v>
      </c>
      <c r="M850" t="s">
        <v>20</v>
      </c>
      <c r="N850">
        <f t="shared" si="26"/>
        <v>2025</v>
      </c>
      <c r="O850" t="str">
        <f t="shared" si="27"/>
        <v>February</v>
      </c>
    </row>
    <row r="851" spans="1:15" x14ac:dyDescent="0.2">
      <c r="A851" t="s">
        <v>960</v>
      </c>
      <c r="B851" s="7">
        <v>45602</v>
      </c>
      <c r="C851" t="s">
        <v>14</v>
      </c>
      <c r="D851" t="s">
        <v>30</v>
      </c>
      <c r="E851" t="s">
        <v>122</v>
      </c>
      <c r="F851" t="s">
        <v>131</v>
      </c>
      <c r="G851" t="s">
        <v>58</v>
      </c>
      <c r="H851" t="s">
        <v>74</v>
      </c>
      <c r="I851" s="3">
        <v>20128</v>
      </c>
      <c r="J851">
        <v>5</v>
      </c>
      <c r="K851" s="5">
        <v>0.15</v>
      </c>
      <c r="L851" s="3">
        <v>899.8</v>
      </c>
      <c r="M851" t="s">
        <v>35</v>
      </c>
      <c r="N851">
        <f t="shared" si="26"/>
        <v>2024</v>
      </c>
      <c r="O851" t="str">
        <f t="shared" si="27"/>
        <v>November</v>
      </c>
    </row>
    <row r="852" spans="1:15" x14ac:dyDescent="0.2">
      <c r="A852" t="s">
        <v>961</v>
      </c>
      <c r="B852" s="7">
        <v>45807</v>
      </c>
      <c r="C852" t="s">
        <v>76</v>
      </c>
      <c r="D852" t="s">
        <v>30</v>
      </c>
      <c r="E852" t="s">
        <v>52</v>
      </c>
      <c r="F852" t="s">
        <v>127</v>
      </c>
      <c r="G852" t="s">
        <v>42</v>
      </c>
      <c r="H852" t="s">
        <v>98</v>
      </c>
      <c r="I852" s="3">
        <v>7905.6</v>
      </c>
      <c r="J852">
        <v>8</v>
      </c>
      <c r="K852" s="5">
        <v>0.1</v>
      </c>
      <c r="L852" s="3">
        <v>1226.3800000000001</v>
      </c>
      <c r="M852" t="s">
        <v>27</v>
      </c>
      <c r="N852">
        <f t="shared" si="26"/>
        <v>2025</v>
      </c>
      <c r="O852" t="str">
        <f t="shared" si="27"/>
        <v>May</v>
      </c>
    </row>
    <row r="853" spans="1:15" x14ac:dyDescent="0.2">
      <c r="A853" t="s">
        <v>962</v>
      </c>
      <c r="B853" s="7">
        <v>45966</v>
      </c>
      <c r="C853" t="s">
        <v>68</v>
      </c>
      <c r="D853" t="s">
        <v>15</v>
      </c>
      <c r="E853" t="s">
        <v>56</v>
      </c>
      <c r="F853" t="s">
        <v>88</v>
      </c>
      <c r="G853" t="s">
        <v>58</v>
      </c>
      <c r="H853" t="s">
        <v>95</v>
      </c>
      <c r="I853" s="3">
        <v>5648.7</v>
      </c>
      <c r="J853">
        <v>3</v>
      </c>
      <c r="K853" s="5">
        <v>0.05</v>
      </c>
      <c r="L853" s="3">
        <v>695.74</v>
      </c>
      <c r="M853" t="s">
        <v>49</v>
      </c>
      <c r="N853">
        <f t="shared" si="26"/>
        <v>2025</v>
      </c>
      <c r="O853" t="str">
        <f t="shared" si="27"/>
        <v>November</v>
      </c>
    </row>
    <row r="854" spans="1:15" x14ac:dyDescent="0.2">
      <c r="A854" t="s">
        <v>963</v>
      </c>
      <c r="B854" s="7">
        <v>45623</v>
      </c>
      <c r="C854" t="s">
        <v>90</v>
      </c>
      <c r="D854" t="s">
        <v>23</v>
      </c>
      <c r="E854" t="s">
        <v>38</v>
      </c>
      <c r="F854" t="s">
        <v>39</v>
      </c>
      <c r="G854" t="s">
        <v>58</v>
      </c>
      <c r="H854" t="s">
        <v>59</v>
      </c>
      <c r="I854" s="3">
        <v>105167.7</v>
      </c>
      <c r="J854">
        <v>3</v>
      </c>
      <c r="K854" s="5">
        <v>0.1</v>
      </c>
      <c r="L854" s="3">
        <v>8506.43</v>
      </c>
      <c r="M854" t="s">
        <v>35</v>
      </c>
      <c r="N854">
        <f t="shared" si="26"/>
        <v>2024</v>
      </c>
      <c r="O854" t="str">
        <f t="shared" si="27"/>
        <v>November</v>
      </c>
    </row>
    <row r="855" spans="1:15" x14ac:dyDescent="0.2">
      <c r="A855" t="s">
        <v>964</v>
      </c>
      <c r="B855" s="7">
        <v>45803</v>
      </c>
      <c r="C855" t="s">
        <v>29</v>
      </c>
      <c r="D855" t="s">
        <v>30</v>
      </c>
      <c r="E855" t="s">
        <v>72</v>
      </c>
      <c r="F855" t="s">
        <v>217</v>
      </c>
      <c r="G855" t="s">
        <v>58</v>
      </c>
      <c r="H855" t="s">
        <v>95</v>
      </c>
      <c r="I855" s="3">
        <v>6015</v>
      </c>
      <c r="J855">
        <v>1</v>
      </c>
      <c r="K855" s="5">
        <v>0</v>
      </c>
      <c r="L855" s="3">
        <v>1281.51</v>
      </c>
      <c r="M855" t="s">
        <v>27</v>
      </c>
      <c r="N855">
        <f t="shared" si="26"/>
        <v>2025</v>
      </c>
      <c r="O855" t="str">
        <f t="shared" si="27"/>
        <v>May</v>
      </c>
    </row>
    <row r="856" spans="1:15" x14ac:dyDescent="0.2">
      <c r="A856" t="s">
        <v>965</v>
      </c>
      <c r="B856" s="7">
        <v>45409</v>
      </c>
      <c r="C856" t="s">
        <v>14</v>
      </c>
      <c r="D856" t="s">
        <v>23</v>
      </c>
      <c r="E856" t="s">
        <v>24</v>
      </c>
      <c r="F856" t="s">
        <v>25</v>
      </c>
      <c r="G856" t="s">
        <v>18</v>
      </c>
      <c r="H856" t="s">
        <v>26</v>
      </c>
      <c r="I856" s="3">
        <v>355131</v>
      </c>
      <c r="J856">
        <v>7</v>
      </c>
      <c r="K856" s="5">
        <v>0</v>
      </c>
      <c r="L856" s="3">
        <v>71871.67</v>
      </c>
      <c r="M856" t="s">
        <v>20</v>
      </c>
      <c r="N856">
        <f t="shared" si="26"/>
        <v>2024</v>
      </c>
      <c r="O856" t="str">
        <f t="shared" si="27"/>
        <v>April</v>
      </c>
    </row>
    <row r="857" spans="1:15" x14ac:dyDescent="0.2">
      <c r="A857" t="s">
        <v>966</v>
      </c>
      <c r="B857" s="7">
        <v>45879</v>
      </c>
      <c r="C857" t="s">
        <v>51</v>
      </c>
      <c r="D857" t="s">
        <v>30</v>
      </c>
      <c r="E857" t="s">
        <v>104</v>
      </c>
      <c r="F857" t="s">
        <v>137</v>
      </c>
      <c r="G857" t="s">
        <v>18</v>
      </c>
      <c r="H857" t="s">
        <v>26</v>
      </c>
      <c r="I857" s="3">
        <v>29505.1</v>
      </c>
      <c r="J857">
        <v>2</v>
      </c>
      <c r="K857" s="5">
        <v>0.05</v>
      </c>
      <c r="L857" s="3">
        <v>7826.94</v>
      </c>
      <c r="M857" t="s">
        <v>40</v>
      </c>
      <c r="N857">
        <f t="shared" si="26"/>
        <v>2025</v>
      </c>
      <c r="O857" t="str">
        <f t="shared" si="27"/>
        <v>August</v>
      </c>
    </row>
    <row r="858" spans="1:15" x14ac:dyDescent="0.2">
      <c r="A858" t="s">
        <v>967</v>
      </c>
      <c r="B858" s="7">
        <v>45488</v>
      </c>
      <c r="C858" t="s">
        <v>37</v>
      </c>
      <c r="D858" t="s">
        <v>23</v>
      </c>
      <c r="E858" t="s">
        <v>79</v>
      </c>
      <c r="F858" t="s">
        <v>93</v>
      </c>
      <c r="G858" t="s">
        <v>58</v>
      </c>
      <c r="H858" t="s">
        <v>59</v>
      </c>
      <c r="I858" s="3">
        <v>67906.5</v>
      </c>
      <c r="J858">
        <v>5</v>
      </c>
      <c r="K858" s="5">
        <v>0.15</v>
      </c>
      <c r="L858" s="3">
        <v>13939</v>
      </c>
      <c r="M858" t="s">
        <v>35</v>
      </c>
      <c r="N858">
        <f t="shared" si="26"/>
        <v>2024</v>
      </c>
      <c r="O858" t="str">
        <f t="shared" si="27"/>
        <v>July</v>
      </c>
    </row>
    <row r="859" spans="1:15" x14ac:dyDescent="0.2">
      <c r="A859" t="s">
        <v>968</v>
      </c>
      <c r="B859" s="7">
        <v>45640</v>
      </c>
      <c r="C859" t="s">
        <v>55</v>
      </c>
      <c r="D859" t="s">
        <v>23</v>
      </c>
      <c r="E859" t="s">
        <v>82</v>
      </c>
      <c r="F859" t="s">
        <v>265</v>
      </c>
      <c r="G859" t="s">
        <v>33</v>
      </c>
      <c r="H859" t="s">
        <v>128</v>
      </c>
      <c r="I859" s="3">
        <v>19811.2</v>
      </c>
      <c r="J859">
        <v>1</v>
      </c>
      <c r="K859" s="5">
        <v>0.2</v>
      </c>
      <c r="L859" s="3">
        <v>4019.66</v>
      </c>
      <c r="M859" t="s">
        <v>35</v>
      </c>
      <c r="N859">
        <f t="shared" si="26"/>
        <v>2024</v>
      </c>
      <c r="O859" t="str">
        <f t="shared" si="27"/>
        <v>December</v>
      </c>
    </row>
    <row r="860" spans="1:15" x14ac:dyDescent="0.2">
      <c r="A860" t="s">
        <v>969</v>
      </c>
      <c r="B860" s="7">
        <v>45677</v>
      </c>
      <c r="C860" t="s">
        <v>37</v>
      </c>
      <c r="D860" t="s">
        <v>30</v>
      </c>
      <c r="E860" t="s">
        <v>31</v>
      </c>
      <c r="F860" t="s">
        <v>188</v>
      </c>
      <c r="G860" t="s">
        <v>33</v>
      </c>
      <c r="H860" t="s">
        <v>109</v>
      </c>
      <c r="I860" s="3">
        <v>27116.7</v>
      </c>
      <c r="J860">
        <v>6</v>
      </c>
      <c r="K860" s="5">
        <v>0.15</v>
      </c>
      <c r="L860" s="3">
        <v>3471</v>
      </c>
      <c r="M860" t="s">
        <v>35</v>
      </c>
      <c r="N860">
        <f t="shared" si="26"/>
        <v>2025</v>
      </c>
      <c r="O860" t="str">
        <f t="shared" si="27"/>
        <v>January</v>
      </c>
    </row>
    <row r="861" spans="1:15" x14ac:dyDescent="0.2">
      <c r="A861" t="s">
        <v>970</v>
      </c>
      <c r="B861" s="7">
        <v>45588</v>
      </c>
      <c r="C861" t="s">
        <v>68</v>
      </c>
      <c r="D861" t="s">
        <v>23</v>
      </c>
      <c r="E861" t="s">
        <v>24</v>
      </c>
      <c r="F861" t="s">
        <v>77</v>
      </c>
      <c r="G861" t="s">
        <v>42</v>
      </c>
      <c r="H861" t="s">
        <v>102</v>
      </c>
      <c r="I861" s="3">
        <v>117432</v>
      </c>
      <c r="J861">
        <v>8</v>
      </c>
      <c r="K861" s="5">
        <v>0.1</v>
      </c>
      <c r="L861" s="3">
        <v>6988.2</v>
      </c>
      <c r="M861" t="s">
        <v>49</v>
      </c>
      <c r="N861">
        <f t="shared" si="26"/>
        <v>2024</v>
      </c>
      <c r="O861" t="str">
        <f t="shared" si="27"/>
        <v>October</v>
      </c>
    </row>
    <row r="862" spans="1:15" x14ac:dyDescent="0.2">
      <c r="A862" t="s">
        <v>971</v>
      </c>
      <c r="B862" s="7">
        <v>45700</v>
      </c>
      <c r="C862" t="s">
        <v>90</v>
      </c>
      <c r="D862" t="s">
        <v>15</v>
      </c>
      <c r="E862" t="s">
        <v>65</v>
      </c>
      <c r="F862" t="s">
        <v>66</v>
      </c>
      <c r="G862" t="s">
        <v>18</v>
      </c>
      <c r="H862" t="s">
        <v>26</v>
      </c>
      <c r="I862" s="3">
        <v>3552</v>
      </c>
      <c r="J862">
        <v>2</v>
      </c>
      <c r="K862" s="5">
        <v>0.2</v>
      </c>
      <c r="L862" s="3">
        <v>461.79</v>
      </c>
      <c r="M862" t="s">
        <v>20</v>
      </c>
      <c r="N862">
        <f t="shared" si="26"/>
        <v>2025</v>
      </c>
      <c r="O862" t="str">
        <f t="shared" si="27"/>
        <v>February</v>
      </c>
    </row>
    <row r="863" spans="1:15" x14ac:dyDescent="0.2">
      <c r="A863" t="s">
        <v>972</v>
      </c>
      <c r="B863" s="7">
        <v>45352</v>
      </c>
      <c r="C863" t="s">
        <v>55</v>
      </c>
      <c r="D863" t="s">
        <v>15</v>
      </c>
      <c r="E863" t="s">
        <v>16</v>
      </c>
      <c r="F863" t="s">
        <v>230</v>
      </c>
      <c r="G863" t="s">
        <v>58</v>
      </c>
      <c r="H863" t="s">
        <v>84</v>
      </c>
      <c r="I863" s="3">
        <v>1643.4</v>
      </c>
      <c r="J863">
        <v>1</v>
      </c>
      <c r="K863" s="5">
        <v>0.1</v>
      </c>
      <c r="L863" s="3">
        <v>156.29</v>
      </c>
      <c r="M863" t="s">
        <v>40</v>
      </c>
      <c r="N863">
        <f t="shared" si="26"/>
        <v>2024</v>
      </c>
      <c r="O863" t="str">
        <f t="shared" si="27"/>
        <v>March</v>
      </c>
    </row>
    <row r="864" spans="1:15" x14ac:dyDescent="0.2">
      <c r="A864" t="s">
        <v>973</v>
      </c>
      <c r="B864" s="7">
        <v>45904</v>
      </c>
      <c r="C864" t="s">
        <v>90</v>
      </c>
      <c r="D864" t="s">
        <v>15</v>
      </c>
      <c r="E864" t="s">
        <v>65</v>
      </c>
      <c r="F864" t="s">
        <v>66</v>
      </c>
      <c r="G864" t="s">
        <v>18</v>
      </c>
      <c r="H864" t="s">
        <v>26</v>
      </c>
      <c r="I864" s="3">
        <v>3032</v>
      </c>
      <c r="J864">
        <v>2</v>
      </c>
      <c r="K864" s="5">
        <v>0</v>
      </c>
      <c r="L864" s="3">
        <v>818.58</v>
      </c>
      <c r="M864" t="s">
        <v>20</v>
      </c>
      <c r="N864">
        <f t="shared" si="26"/>
        <v>2025</v>
      </c>
      <c r="O864" t="str">
        <f t="shared" si="27"/>
        <v>September</v>
      </c>
    </row>
    <row r="865" spans="1:15" x14ac:dyDescent="0.2">
      <c r="A865" t="s">
        <v>974</v>
      </c>
      <c r="B865" s="7">
        <v>45650</v>
      </c>
      <c r="C865" t="s">
        <v>22</v>
      </c>
      <c r="D865" t="s">
        <v>15</v>
      </c>
      <c r="E865" t="s">
        <v>61</v>
      </c>
      <c r="F865" t="s">
        <v>144</v>
      </c>
      <c r="G865" t="s">
        <v>33</v>
      </c>
      <c r="H865" t="s">
        <v>34</v>
      </c>
      <c r="I865" s="3">
        <v>1707.2</v>
      </c>
      <c r="J865">
        <v>1</v>
      </c>
      <c r="K865" s="5">
        <v>0.2</v>
      </c>
      <c r="L865" s="3">
        <v>128.12</v>
      </c>
      <c r="M865" t="s">
        <v>49</v>
      </c>
      <c r="N865">
        <f t="shared" si="26"/>
        <v>2024</v>
      </c>
      <c r="O865" t="str">
        <f t="shared" si="27"/>
        <v>December</v>
      </c>
    </row>
    <row r="866" spans="1:15" x14ac:dyDescent="0.2">
      <c r="A866" t="s">
        <v>975</v>
      </c>
      <c r="B866" s="7">
        <v>45688</v>
      </c>
      <c r="C866" t="s">
        <v>22</v>
      </c>
      <c r="D866" t="s">
        <v>30</v>
      </c>
      <c r="E866" t="s">
        <v>31</v>
      </c>
      <c r="F866" t="s">
        <v>32</v>
      </c>
      <c r="G866" t="s">
        <v>18</v>
      </c>
      <c r="H866" t="s">
        <v>70</v>
      </c>
      <c r="I866" s="3">
        <v>42339.199999999997</v>
      </c>
      <c r="J866">
        <v>4</v>
      </c>
      <c r="K866" s="5">
        <v>0.2</v>
      </c>
      <c r="L866" s="3">
        <v>5353.14</v>
      </c>
      <c r="M866" t="s">
        <v>40</v>
      </c>
      <c r="N866">
        <f t="shared" si="26"/>
        <v>2025</v>
      </c>
      <c r="O866" t="str">
        <f t="shared" si="27"/>
        <v>January</v>
      </c>
    </row>
    <row r="867" spans="1:15" x14ac:dyDescent="0.2">
      <c r="A867" t="s">
        <v>976</v>
      </c>
      <c r="B867" s="7">
        <v>45351</v>
      </c>
      <c r="C867" t="s">
        <v>76</v>
      </c>
      <c r="D867" t="s">
        <v>30</v>
      </c>
      <c r="E867" t="s">
        <v>122</v>
      </c>
      <c r="F867" t="s">
        <v>160</v>
      </c>
      <c r="G867" t="s">
        <v>33</v>
      </c>
      <c r="H867" t="s">
        <v>128</v>
      </c>
      <c r="I867" s="3">
        <v>24413.1</v>
      </c>
      <c r="J867">
        <v>2</v>
      </c>
      <c r="K867" s="5">
        <v>0.05</v>
      </c>
      <c r="L867" s="3">
        <v>3323.24</v>
      </c>
      <c r="M867" t="s">
        <v>40</v>
      </c>
      <c r="N867">
        <f t="shared" si="26"/>
        <v>2024</v>
      </c>
      <c r="O867" t="str">
        <f t="shared" si="27"/>
        <v>February</v>
      </c>
    </row>
    <row r="868" spans="1:15" x14ac:dyDescent="0.2">
      <c r="A868" t="s">
        <v>977</v>
      </c>
      <c r="B868" s="7">
        <v>45421</v>
      </c>
      <c r="C868" t="s">
        <v>29</v>
      </c>
      <c r="D868" t="s">
        <v>23</v>
      </c>
      <c r="E868" t="s">
        <v>172</v>
      </c>
      <c r="F868" t="s">
        <v>210</v>
      </c>
      <c r="G868" t="s">
        <v>18</v>
      </c>
      <c r="H868" t="s">
        <v>26</v>
      </c>
      <c r="I868" s="3">
        <v>53744</v>
      </c>
      <c r="J868">
        <v>1</v>
      </c>
      <c r="K868" s="5">
        <v>0</v>
      </c>
      <c r="L868" s="3">
        <v>5123</v>
      </c>
      <c r="M868" t="s">
        <v>40</v>
      </c>
      <c r="N868">
        <f t="shared" si="26"/>
        <v>2024</v>
      </c>
      <c r="O868" t="str">
        <f t="shared" si="27"/>
        <v>May</v>
      </c>
    </row>
    <row r="869" spans="1:15" x14ac:dyDescent="0.2">
      <c r="A869" t="s">
        <v>978</v>
      </c>
      <c r="B869" s="7">
        <v>45964</v>
      </c>
      <c r="C869" t="s">
        <v>37</v>
      </c>
      <c r="D869" t="s">
        <v>30</v>
      </c>
      <c r="E869" t="s">
        <v>52</v>
      </c>
      <c r="F869" t="s">
        <v>118</v>
      </c>
      <c r="G869" t="s">
        <v>42</v>
      </c>
      <c r="H869" t="s">
        <v>119</v>
      </c>
      <c r="I869" s="3">
        <v>17170</v>
      </c>
      <c r="J869">
        <v>4</v>
      </c>
      <c r="K869" s="5">
        <v>0.15</v>
      </c>
      <c r="L869" s="3">
        <v>2987.86</v>
      </c>
      <c r="M869" t="s">
        <v>20</v>
      </c>
      <c r="N869">
        <f t="shared" si="26"/>
        <v>2025</v>
      </c>
      <c r="O869" t="str">
        <f t="shared" si="27"/>
        <v>November</v>
      </c>
    </row>
    <row r="870" spans="1:15" x14ac:dyDescent="0.2">
      <c r="A870" t="s">
        <v>979</v>
      </c>
      <c r="B870" s="7">
        <v>45856</v>
      </c>
      <c r="C870" t="s">
        <v>68</v>
      </c>
      <c r="D870" t="s">
        <v>30</v>
      </c>
      <c r="E870" t="s">
        <v>72</v>
      </c>
      <c r="F870" t="s">
        <v>73</v>
      </c>
      <c r="G870" t="s">
        <v>33</v>
      </c>
      <c r="H870" t="s">
        <v>109</v>
      </c>
      <c r="I870" s="3">
        <v>43297.2</v>
      </c>
      <c r="J870">
        <v>6</v>
      </c>
      <c r="K870" s="5">
        <v>0.1</v>
      </c>
      <c r="L870" s="3">
        <v>10533.58</v>
      </c>
      <c r="M870" t="s">
        <v>40</v>
      </c>
      <c r="N870">
        <f t="shared" si="26"/>
        <v>2025</v>
      </c>
      <c r="O870" t="str">
        <f t="shared" si="27"/>
        <v>July</v>
      </c>
    </row>
    <row r="871" spans="1:15" x14ac:dyDescent="0.2">
      <c r="A871" t="s">
        <v>980</v>
      </c>
      <c r="B871" s="7">
        <v>45432</v>
      </c>
      <c r="C871" t="s">
        <v>51</v>
      </c>
      <c r="D871" t="s">
        <v>15</v>
      </c>
      <c r="E871" t="s">
        <v>65</v>
      </c>
      <c r="F871" t="s">
        <v>147</v>
      </c>
      <c r="G871" t="s">
        <v>42</v>
      </c>
      <c r="H871" t="s">
        <v>102</v>
      </c>
      <c r="I871" s="3">
        <v>11291.4</v>
      </c>
      <c r="J871">
        <v>6</v>
      </c>
      <c r="K871" s="5">
        <v>0.1</v>
      </c>
      <c r="L871" s="3">
        <v>798.18</v>
      </c>
      <c r="M871" t="s">
        <v>40</v>
      </c>
      <c r="N871">
        <f t="shared" si="26"/>
        <v>2024</v>
      </c>
      <c r="O871" t="str">
        <f t="shared" si="27"/>
        <v>May</v>
      </c>
    </row>
    <row r="872" spans="1:15" x14ac:dyDescent="0.2">
      <c r="A872" t="s">
        <v>981</v>
      </c>
      <c r="B872" s="7">
        <v>45313</v>
      </c>
      <c r="C872" t="s">
        <v>29</v>
      </c>
      <c r="D872" t="s">
        <v>30</v>
      </c>
      <c r="E872" t="s">
        <v>72</v>
      </c>
      <c r="F872" t="s">
        <v>207</v>
      </c>
      <c r="G872" t="s">
        <v>33</v>
      </c>
      <c r="H872" t="s">
        <v>128</v>
      </c>
      <c r="I872" s="3">
        <v>21682.65</v>
      </c>
      <c r="J872">
        <v>3</v>
      </c>
      <c r="K872" s="5">
        <v>0.15</v>
      </c>
      <c r="L872" s="3">
        <v>5054.42</v>
      </c>
      <c r="M872" t="s">
        <v>20</v>
      </c>
      <c r="N872">
        <f t="shared" si="26"/>
        <v>2024</v>
      </c>
      <c r="O872" t="str">
        <f t="shared" si="27"/>
        <v>January</v>
      </c>
    </row>
    <row r="873" spans="1:15" x14ac:dyDescent="0.2">
      <c r="A873" t="s">
        <v>982</v>
      </c>
      <c r="B873" s="7">
        <v>45685</v>
      </c>
      <c r="C873" t="s">
        <v>29</v>
      </c>
      <c r="D873" t="s">
        <v>30</v>
      </c>
      <c r="E873" t="s">
        <v>104</v>
      </c>
      <c r="F873" t="s">
        <v>105</v>
      </c>
      <c r="G873" t="s">
        <v>58</v>
      </c>
      <c r="H873" t="s">
        <v>84</v>
      </c>
      <c r="I873" s="3">
        <v>13380</v>
      </c>
      <c r="J873">
        <v>1</v>
      </c>
      <c r="K873" s="5">
        <v>0</v>
      </c>
      <c r="L873" s="3">
        <v>3379.18</v>
      </c>
      <c r="M873" t="s">
        <v>20</v>
      </c>
      <c r="N873">
        <f t="shared" si="26"/>
        <v>2025</v>
      </c>
      <c r="O873" t="str">
        <f t="shared" si="27"/>
        <v>January</v>
      </c>
    </row>
    <row r="874" spans="1:15" x14ac:dyDescent="0.2">
      <c r="A874" t="s">
        <v>983</v>
      </c>
      <c r="B874" s="7">
        <v>45648</v>
      </c>
      <c r="C874" t="s">
        <v>14</v>
      </c>
      <c r="D874" t="s">
        <v>23</v>
      </c>
      <c r="E874" t="s">
        <v>24</v>
      </c>
      <c r="F874" t="s">
        <v>25</v>
      </c>
      <c r="G874" t="s">
        <v>58</v>
      </c>
      <c r="H874" t="s">
        <v>74</v>
      </c>
      <c r="I874" s="3">
        <v>252679</v>
      </c>
      <c r="J874">
        <v>7</v>
      </c>
      <c r="K874" s="5">
        <v>0</v>
      </c>
      <c r="L874" s="3">
        <v>47581.94</v>
      </c>
      <c r="M874" t="s">
        <v>35</v>
      </c>
      <c r="N874">
        <f t="shared" si="26"/>
        <v>2024</v>
      </c>
      <c r="O874" t="str">
        <f t="shared" si="27"/>
        <v>December</v>
      </c>
    </row>
    <row r="875" spans="1:15" x14ac:dyDescent="0.2">
      <c r="A875" t="s">
        <v>984</v>
      </c>
      <c r="B875" s="7">
        <v>45986</v>
      </c>
      <c r="C875" t="s">
        <v>68</v>
      </c>
      <c r="D875" t="s">
        <v>30</v>
      </c>
      <c r="E875" t="s">
        <v>104</v>
      </c>
      <c r="F875" t="s">
        <v>137</v>
      </c>
      <c r="G875" t="s">
        <v>33</v>
      </c>
      <c r="H875" t="s">
        <v>128</v>
      </c>
      <c r="I875" s="3">
        <v>103663</v>
      </c>
      <c r="J875">
        <v>7</v>
      </c>
      <c r="K875" s="5">
        <v>0</v>
      </c>
      <c r="L875" s="3">
        <v>19764.27</v>
      </c>
      <c r="M875" t="s">
        <v>35</v>
      </c>
      <c r="N875">
        <f t="shared" si="26"/>
        <v>2025</v>
      </c>
      <c r="O875" t="str">
        <f t="shared" si="27"/>
        <v>November</v>
      </c>
    </row>
    <row r="876" spans="1:15" x14ac:dyDescent="0.2">
      <c r="A876" t="s">
        <v>985</v>
      </c>
      <c r="B876" s="7">
        <v>45990</v>
      </c>
      <c r="C876" t="s">
        <v>68</v>
      </c>
      <c r="D876" t="s">
        <v>30</v>
      </c>
      <c r="E876" t="s">
        <v>122</v>
      </c>
      <c r="F876" t="s">
        <v>160</v>
      </c>
      <c r="G876" t="s">
        <v>42</v>
      </c>
      <c r="H876" t="s">
        <v>98</v>
      </c>
      <c r="I876" s="3">
        <v>68848</v>
      </c>
      <c r="J876">
        <v>8</v>
      </c>
      <c r="K876" s="5">
        <v>0</v>
      </c>
      <c r="L876" s="3">
        <v>9372.9699999999993</v>
      </c>
      <c r="M876" t="s">
        <v>20</v>
      </c>
      <c r="N876">
        <f t="shared" si="26"/>
        <v>2025</v>
      </c>
      <c r="O876" t="str">
        <f t="shared" si="27"/>
        <v>November</v>
      </c>
    </row>
    <row r="877" spans="1:15" x14ac:dyDescent="0.2">
      <c r="A877" t="s">
        <v>986</v>
      </c>
      <c r="B877" s="7">
        <v>45960</v>
      </c>
      <c r="C877" t="s">
        <v>90</v>
      </c>
      <c r="D877" t="s">
        <v>23</v>
      </c>
      <c r="E877" t="s">
        <v>172</v>
      </c>
      <c r="F877" t="s">
        <v>173</v>
      </c>
      <c r="G877" t="s">
        <v>42</v>
      </c>
      <c r="H877" t="s">
        <v>119</v>
      </c>
      <c r="I877" s="3">
        <v>23499</v>
      </c>
      <c r="J877">
        <v>7</v>
      </c>
      <c r="K877" s="5">
        <v>0.1</v>
      </c>
      <c r="L877" s="3">
        <v>4390.6899999999996</v>
      </c>
      <c r="M877" t="s">
        <v>20</v>
      </c>
      <c r="N877">
        <f t="shared" si="26"/>
        <v>2025</v>
      </c>
      <c r="O877" t="str">
        <f t="shared" si="27"/>
        <v>October</v>
      </c>
    </row>
    <row r="878" spans="1:15" x14ac:dyDescent="0.2">
      <c r="A878" t="s">
        <v>987</v>
      </c>
      <c r="B878" s="7">
        <v>45659</v>
      </c>
      <c r="C878" t="s">
        <v>29</v>
      </c>
      <c r="D878" t="s">
        <v>23</v>
      </c>
      <c r="E878" t="s">
        <v>79</v>
      </c>
      <c r="F878" t="s">
        <v>107</v>
      </c>
      <c r="G878" t="s">
        <v>42</v>
      </c>
      <c r="H878" t="s">
        <v>119</v>
      </c>
      <c r="I878" s="3">
        <v>252200</v>
      </c>
      <c r="J878">
        <v>8</v>
      </c>
      <c r="K878" s="5">
        <v>0</v>
      </c>
      <c r="L878" s="3">
        <v>43703.21</v>
      </c>
      <c r="M878" t="s">
        <v>35</v>
      </c>
      <c r="N878">
        <f t="shared" si="26"/>
        <v>2025</v>
      </c>
      <c r="O878" t="str">
        <f t="shared" si="27"/>
        <v>January</v>
      </c>
    </row>
    <row r="879" spans="1:15" x14ac:dyDescent="0.2">
      <c r="A879" t="s">
        <v>988</v>
      </c>
      <c r="B879" s="7">
        <v>45574</v>
      </c>
      <c r="C879" t="s">
        <v>68</v>
      </c>
      <c r="D879" t="s">
        <v>23</v>
      </c>
      <c r="E879" t="s">
        <v>38</v>
      </c>
      <c r="F879" t="s">
        <v>91</v>
      </c>
      <c r="G879" t="s">
        <v>18</v>
      </c>
      <c r="H879" t="s">
        <v>70</v>
      </c>
      <c r="I879" s="3">
        <v>362947.5</v>
      </c>
      <c r="J879">
        <v>6</v>
      </c>
      <c r="K879" s="5">
        <v>0.05</v>
      </c>
      <c r="L879" s="3">
        <v>43227.55</v>
      </c>
      <c r="M879" t="s">
        <v>49</v>
      </c>
      <c r="N879">
        <f t="shared" si="26"/>
        <v>2024</v>
      </c>
      <c r="O879" t="str">
        <f t="shared" si="27"/>
        <v>October</v>
      </c>
    </row>
    <row r="880" spans="1:15" x14ac:dyDescent="0.2">
      <c r="A880" t="s">
        <v>989</v>
      </c>
      <c r="B880" s="7">
        <v>45742</v>
      </c>
      <c r="C880" t="s">
        <v>90</v>
      </c>
      <c r="D880" t="s">
        <v>23</v>
      </c>
      <c r="E880" t="s">
        <v>24</v>
      </c>
      <c r="F880" t="s">
        <v>25</v>
      </c>
      <c r="G880" t="s">
        <v>33</v>
      </c>
      <c r="H880" t="s">
        <v>48</v>
      </c>
      <c r="I880" s="3">
        <v>15625.6</v>
      </c>
      <c r="J880">
        <v>1</v>
      </c>
      <c r="K880" s="5">
        <v>0.05</v>
      </c>
      <c r="L880" s="3">
        <v>3193.69</v>
      </c>
      <c r="M880" t="s">
        <v>27</v>
      </c>
      <c r="N880">
        <f t="shared" si="26"/>
        <v>2025</v>
      </c>
      <c r="O880" t="str">
        <f t="shared" si="27"/>
        <v>March</v>
      </c>
    </row>
    <row r="881" spans="1:15" x14ac:dyDescent="0.2">
      <c r="A881" t="s">
        <v>990</v>
      </c>
      <c r="B881" s="7">
        <v>45906</v>
      </c>
      <c r="C881" t="s">
        <v>76</v>
      </c>
      <c r="D881" t="s">
        <v>23</v>
      </c>
      <c r="E881" t="s">
        <v>172</v>
      </c>
      <c r="F881" t="s">
        <v>173</v>
      </c>
      <c r="G881" t="s">
        <v>33</v>
      </c>
      <c r="H881" t="s">
        <v>128</v>
      </c>
      <c r="I881" s="3">
        <v>72284</v>
      </c>
      <c r="J881">
        <v>5</v>
      </c>
      <c r="K881" s="5">
        <v>0.2</v>
      </c>
      <c r="L881" s="3">
        <v>12553.12</v>
      </c>
      <c r="M881" t="s">
        <v>27</v>
      </c>
      <c r="N881">
        <f t="shared" si="26"/>
        <v>2025</v>
      </c>
      <c r="O881" t="str">
        <f t="shared" si="27"/>
        <v>September</v>
      </c>
    </row>
    <row r="882" spans="1:15" x14ac:dyDescent="0.2">
      <c r="A882" t="s">
        <v>991</v>
      </c>
      <c r="B882" s="7">
        <v>45989</v>
      </c>
      <c r="C882" t="s">
        <v>22</v>
      </c>
      <c r="D882" t="s">
        <v>23</v>
      </c>
      <c r="E882" t="s">
        <v>82</v>
      </c>
      <c r="F882" t="s">
        <v>240</v>
      </c>
      <c r="G882" t="s">
        <v>58</v>
      </c>
      <c r="H882" t="s">
        <v>95</v>
      </c>
      <c r="I882" s="3">
        <v>26768</v>
      </c>
      <c r="J882">
        <v>2</v>
      </c>
      <c r="K882" s="5">
        <v>0.2</v>
      </c>
      <c r="L882" s="3">
        <v>2791.15</v>
      </c>
      <c r="M882" t="s">
        <v>20</v>
      </c>
      <c r="N882">
        <f t="shared" si="26"/>
        <v>2025</v>
      </c>
      <c r="O882" t="str">
        <f t="shared" si="27"/>
        <v>November</v>
      </c>
    </row>
    <row r="883" spans="1:15" x14ac:dyDescent="0.2">
      <c r="A883" t="s">
        <v>992</v>
      </c>
      <c r="B883" s="7">
        <v>45675</v>
      </c>
      <c r="C883" t="s">
        <v>29</v>
      </c>
      <c r="D883" t="s">
        <v>15</v>
      </c>
      <c r="E883" t="s">
        <v>61</v>
      </c>
      <c r="F883" t="s">
        <v>111</v>
      </c>
      <c r="G883" t="s">
        <v>42</v>
      </c>
      <c r="H883" t="s">
        <v>98</v>
      </c>
      <c r="I883" s="3">
        <v>7507.2</v>
      </c>
      <c r="J883">
        <v>6</v>
      </c>
      <c r="K883" s="5">
        <v>0.15</v>
      </c>
      <c r="L883" s="3">
        <v>1666.44</v>
      </c>
      <c r="M883" t="s">
        <v>27</v>
      </c>
      <c r="N883">
        <f t="shared" si="26"/>
        <v>2025</v>
      </c>
      <c r="O883" t="str">
        <f t="shared" si="27"/>
        <v>January</v>
      </c>
    </row>
    <row r="884" spans="1:15" x14ac:dyDescent="0.2">
      <c r="A884" t="s">
        <v>993</v>
      </c>
      <c r="B884" s="7">
        <v>45612</v>
      </c>
      <c r="C884" t="s">
        <v>51</v>
      </c>
      <c r="D884" t="s">
        <v>15</v>
      </c>
      <c r="E884" t="s">
        <v>16</v>
      </c>
      <c r="F884" t="s">
        <v>17</v>
      </c>
      <c r="G884" t="s">
        <v>33</v>
      </c>
      <c r="H884" t="s">
        <v>34</v>
      </c>
      <c r="I884" s="3">
        <v>1020</v>
      </c>
      <c r="J884">
        <v>5</v>
      </c>
      <c r="K884" s="5">
        <v>0</v>
      </c>
      <c r="L884" s="3">
        <v>205.84</v>
      </c>
      <c r="M884" t="s">
        <v>35</v>
      </c>
      <c r="N884">
        <f t="shared" si="26"/>
        <v>2024</v>
      </c>
      <c r="O884" t="str">
        <f t="shared" si="27"/>
        <v>November</v>
      </c>
    </row>
    <row r="885" spans="1:15" x14ac:dyDescent="0.2">
      <c r="A885" t="s">
        <v>994</v>
      </c>
      <c r="B885" s="7">
        <v>45521</v>
      </c>
      <c r="C885" t="s">
        <v>90</v>
      </c>
      <c r="D885" t="s">
        <v>15</v>
      </c>
      <c r="E885" t="s">
        <v>65</v>
      </c>
      <c r="F885" t="s">
        <v>222</v>
      </c>
      <c r="G885" t="s">
        <v>33</v>
      </c>
      <c r="H885" t="s">
        <v>109</v>
      </c>
      <c r="I885" s="3">
        <v>1660</v>
      </c>
      <c r="J885">
        <v>1</v>
      </c>
      <c r="K885" s="5">
        <v>0</v>
      </c>
      <c r="L885" s="3">
        <v>449.92</v>
      </c>
      <c r="M885" t="s">
        <v>35</v>
      </c>
      <c r="N885">
        <f t="shared" si="26"/>
        <v>2024</v>
      </c>
      <c r="O885" t="str">
        <f t="shared" si="27"/>
        <v>August</v>
      </c>
    </row>
    <row r="886" spans="1:15" x14ac:dyDescent="0.2">
      <c r="A886" t="s">
        <v>995</v>
      </c>
      <c r="B886" s="7">
        <v>45567</v>
      </c>
      <c r="C886" t="s">
        <v>76</v>
      </c>
      <c r="D886" t="s">
        <v>15</v>
      </c>
      <c r="E886" t="s">
        <v>56</v>
      </c>
      <c r="F886" t="s">
        <v>100</v>
      </c>
      <c r="G886" t="s">
        <v>58</v>
      </c>
      <c r="H886" t="s">
        <v>95</v>
      </c>
      <c r="I886" s="3">
        <v>1798.4</v>
      </c>
      <c r="J886">
        <v>1</v>
      </c>
      <c r="K886" s="5">
        <v>0.2</v>
      </c>
      <c r="L886" s="3">
        <v>212.58</v>
      </c>
      <c r="M886" t="s">
        <v>35</v>
      </c>
      <c r="N886">
        <f t="shared" si="26"/>
        <v>2024</v>
      </c>
      <c r="O886" t="str">
        <f t="shared" si="27"/>
        <v>October</v>
      </c>
    </row>
    <row r="887" spans="1:15" x14ac:dyDescent="0.2">
      <c r="A887" t="s">
        <v>996</v>
      </c>
      <c r="B887" s="7">
        <v>45711</v>
      </c>
      <c r="C887" t="s">
        <v>45</v>
      </c>
      <c r="D887" t="s">
        <v>30</v>
      </c>
      <c r="E887" t="s">
        <v>31</v>
      </c>
      <c r="F887" t="s">
        <v>97</v>
      </c>
      <c r="G887" t="s">
        <v>42</v>
      </c>
      <c r="H887" t="s">
        <v>98</v>
      </c>
      <c r="I887" s="3">
        <v>42237</v>
      </c>
      <c r="J887">
        <v>4</v>
      </c>
      <c r="K887" s="5">
        <v>0.05</v>
      </c>
      <c r="L887" s="3">
        <v>6610.15</v>
      </c>
      <c r="M887" t="s">
        <v>20</v>
      </c>
      <c r="N887">
        <f t="shared" si="26"/>
        <v>2025</v>
      </c>
      <c r="O887" t="str">
        <f t="shared" si="27"/>
        <v>February</v>
      </c>
    </row>
    <row r="888" spans="1:15" x14ac:dyDescent="0.2">
      <c r="A888" t="s">
        <v>997</v>
      </c>
      <c r="B888" s="7">
        <v>45420</v>
      </c>
      <c r="C888" t="s">
        <v>51</v>
      </c>
      <c r="D888" t="s">
        <v>30</v>
      </c>
      <c r="E888" t="s">
        <v>72</v>
      </c>
      <c r="F888" t="s">
        <v>73</v>
      </c>
      <c r="G888" t="s">
        <v>18</v>
      </c>
      <c r="H888" t="s">
        <v>19</v>
      </c>
      <c r="I888" s="3">
        <v>56766.400000000001</v>
      </c>
      <c r="J888">
        <v>8</v>
      </c>
      <c r="K888" s="5">
        <v>0.15</v>
      </c>
      <c r="L888" s="3">
        <v>5021.1400000000003</v>
      </c>
      <c r="M888" t="s">
        <v>40</v>
      </c>
      <c r="N888">
        <f t="shared" si="26"/>
        <v>2024</v>
      </c>
      <c r="O888" t="str">
        <f t="shared" si="27"/>
        <v>May</v>
      </c>
    </row>
    <row r="889" spans="1:15" x14ac:dyDescent="0.2">
      <c r="A889" t="s">
        <v>998</v>
      </c>
      <c r="B889" s="7">
        <v>45443</v>
      </c>
      <c r="C889" t="s">
        <v>90</v>
      </c>
      <c r="D889" t="s">
        <v>30</v>
      </c>
      <c r="E889" t="s">
        <v>72</v>
      </c>
      <c r="F889" t="s">
        <v>207</v>
      </c>
      <c r="G889" t="s">
        <v>33</v>
      </c>
      <c r="H889" t="s">
        <v>34</v>
      </c>
      <c r="I889" s="3">
        <v>23791.5</v>
      </c>
      <c r="J889">
        <v>6</v>
      </c>
      <c r="K889" s="5">
        <v>0.15</v>
      </c>
      <c r="L889" s="3">
        <v>3014.49</v>
      </c>
      <c r="M889" t="s">
        <v>49</v>
      </c>
      <c r="N889">
        <f t="shared" si="26"/>
        <v>2024</v>
      </c>
      <c r="O889" t="str">
        <f t="shared" si="27"/>
        <v>May</v>
      </c>
    </row>
    <row r="890" spans="1:15" x14ac:dyDescent="0.2">
      <c r="A890" t="s">
        <v>999</v>
      </c>
      <c r="B890" s="7">
        <v>45773</v>
      </c>
      <c r="C890" t="s">
        <v>37</v>
      </c>
      <c r="D890" t="s">
        <v>15</v>
      </c>
      <c r="E890" t="s">
        <v>46</v>
      </c>
      <c r="F890" t="s">
        <v>176</v>
      </c>
      <c r="G890" t="s">
        <v>33</v>
      </c>
      <c r="H890" t="s">
        <v>109</v>
      </c>
      <c r="I890" s="3">
        <v>2827.2</v>
      </c>
      <c r="J890">
        <v>3</v>
      </c>
      <c r="K890" s="5">
        <v>0.2</v>
      </c>
      <c r="L890" s="3">
        <v>487.06</v>
      </c>
      <c r="M890" t="s">
        <v>40</v>
      </c>
      <c r="N890">
        <f t="shared" si="26"/>
        <v>2025</v>
      </c>
      <c r="O890" t="str">
        <f t="shared" si="27"/>
        <v>April</v>
      </c>
    </row>
    <row r="891" spans="1:15" x14ac:dyDescent="0.2">
      <c r="A891" t="s">
        <v>1000</v>
      </c>
      <c r="B891" s="7">
        <v>46005</v>
      </c>
      <c r="C891" t="s">
        <v>51</v>
      </c>
      <c r="D891" t="s">
        <v>23</v>
      </c>
      <c r="E891" t="s">
        <v>38</v>
      </c>
      <c r="F891" t="s">
        <v>140</v>
      </c>
      <c r="G891" t="s">
        <v>18</v>
      </c>
      <c r="H891" t="s">
        <v>26</v>
      </c>
      <c r="I891" s="3">
        <v>94348.800000000003</v>
      </c>
      <c r="J891">
        <v>3</v>
      </c>
      <c r="K891" s="5">
        <v>0.1</v>
      </c>
      <c r="L891" s="3">
        <v>7594.19</v>
      </c>
      <c r="M891" t="s">
        <v>40</v>
      </c>
      <c r="N891">
        <f t="shared" si="26"/>
        <v>2025</v>
      </c>
      <c r="O891" t="str">
        <f t="shared" si="27"/>
        <v>December</v>
      </c>
    </row>
    <row r="892" spans="1:15" x14ac:dyDescent="0.2">
      <c r="A892" t="s">
        <v>1001</v>
      </c>
      <c r="B892" s="7">
        <v>45710</v>
      </c>
      <c r="C892" t="s">
        <v>29</v>
      </c>
      <c r="D892" t="s">
        <v>15</v>
      </c>
      <c r="E892" t="s">
        <v>65</v>
      </c>
      <c r="F892" t="s">
        <v>66</v>
      </c>
      <c r="G892" t="s">
        <v>18</v>
      </c>
      <c r="H892" t="s">
        <v>19</v>
      </c>
      <c r="I892" s="3">
        <v>723.6</v>
      </c>
      <c r="J892">
        <v>2</v>
      </c>
      <c r="K892" s="5">
        <v>0.1</v>
      </c>
      <c r="L892" s="3">
        <v>177.27</v>
      </c>
      <c r="M892" t="s">
        <v>49</v>
      </c>
      <c r="N892">
        <f t="shared" si="26"/>
        <v>2025</v>
      </c>
      <c r="O892" t="str">
        <f t="shared" si="27"/>
        <v>February</v>
      </c>
    </row>
    <row r="893" spans="1:15" x14ac:dyDescent="0.2">
      <c r="A893" t="s">
        <v>1002</v>
      </c>
      <c r="B893" s="7">
        <v>45741</v>
      </c>
      <c r="C893" t="s">
        <v>55</v>
      </c>
      <c r="D893" t="s">
        <v>30</v>
      </c>
      <c r="E893" t="s">
        <v>122</v>
      </c>
      <c r="F893" t="s">
        <v>123</v>
      </c>
      <c r="G893" t="s">
        <v>33</v>
      </c>
      <c r="H893" t="s">
        <v>48</v>
      </c>
      <c r="I893" s="3">
        <v>1793.5</v>
      </c>
      <c r="J893">
        <v>2</v>
      </c>
      <c r="K893" s="5">
        <v>0.15</v>
      </c>
      <c r="L893" s="3">
        <v>212.31</v>
      </c>
      <c r="M893" t="s">
        <v>35</v>
      </c>
      <c r="N893">
        <f t="shared" si="26"/>
        <v>2025</v>
      </c>
      <c r="O893" t="str">
        <f t="shared" si="27"/>
        <v>March</v>
      </c>
    </row>
    <row r="894" spans="1:15" x14ac:dyDescent="0.2">
      <c r="A894" t="s">
        <v>1003</v>
      </c>
      <c r="B894" s="7">
        <v>45829</v>
      </c>
      <c r="C894" t="s">
        <v>90</v>
      </c>
      <c r="D894" t="s">
        <v>15</v>
      </c>
      <c r="E894" t="s">
        <v>56</v>
      </c>
      <c r="F894" t="s">
        <v>88</v>
      </c>
      <c r="G894" t="s">
        <v>42</v>
      </c>
      <c r="H894" t="s">
        <v>102</v>
      </c>
      <c r="I894" s="3">
        <v>1188</v>
      </c>
      <c r="J894">
        <v>5</v>
      </c>
      <c r="K894" s="5">
        <v>0.2</v>
      </c>
      <c r="L894" s="3">
        <v>158.63999999999999</v>
      </c>
      <c r="M894" t="s">
        <v>35</v>
      </c>
      <c r="N894">
        <f t="shared" si="26"/>
        <v>2025</v>
      </c>
      <c r="O894" t="str">
        <f t="shared" si="27"/>
        <v>June</v>
      </c>
    </row>
    <row r="895" spans="1:15" x14ac:dyDescent="0.2">
      <c r="A895" t="s">
        <v>1004</v>
      </c>
      <c r="B895" s="7">
        <v>45576</v>
      </c>
      <c r="C895" t="s">
        <v>90</v>
      </c>
      <c r="D895" t="s">
        <v>30</v>
      </c>
      <c r="E895" t="s">
        <v>104</v>
      </c>
      <c r="F895" t="s">
        <v>137</v>
      </c>
      <c r="G895" t="s">
        <v>42</v>
      </c>
      <c r="H895" t="s">
        <v>43</v>
      </c>
      <c r="I895" s="3">
        <v>15652.2</v>
      </c>
      <c r="J895">
        <v>3</v>
      </c>
      <c r="K895" s="5">
        <v>0.05</v>
      </c>
      <c r="L895" s="3">
        <v>2404.3000000000002</v>
      </c>
      <c r="M895" t="s">
        <v>35</v>
      </c>
      <c r="N895">
        <f t="shared" si="26"/>
        <v>2024</v>
      </c>
      <c r="O895" t="str">
        <f t="shared" si="27"/>
        <v>October</v>
      </c>
    </row>
    <row r="896" spans="1:15" x14ac:dyDescent="0.2">
      <c r="A896" t="s">
        <v>1005</v>
      </c>
      <c r="B896" s="7">
        <v>45465</v>
      </c>
      <c r="C896" t="s">
        <v>68</v>
      </c>
      <c r="D896" t="s">
        <v>30</v>
      </c>
      <c r="E896" t="s">
        <v>52</v>
      </c>
      <c r="F896" t="s">
        <v>53</v>
      </c>
      <c r="G896" t="s">
        <v>42</v>
      </c>
      <c r="H896" t="s">
        <v>119</v>
      </c>
      <c r="I896" s="3">
        <v>16614.099999999999</v>
      </c>
      <c r="J896">
        <v>2</v>
      </c>
      <c r="K896" s="5">
        <v>0.15</v>
      </c>
      <c r="L896" s="3">
        <v>1449.19</v>
      </c>
      <c r="M896" t="s">
        <v>27</v>
      </c>
      <c r="N896">
        <f t="shared" si="26"/>
        <v>2024</v>
      </c>
      <c r="O896" t="str">
        <f t="shared" si="27"/>
        <v>June</v>
      </c>
    </row>
    <row r="897" spans="1:15" x14ac:dyDescent="0.2">
      <c r="A897" t="s">
        <v>1006</v>
      </c>
      <c r="B897" s="7">
        <v>45332</v>
      </c>
      <c r="C897" t="s">
        <v>51</v>
      </c>
      <c r="D897" t="s">
        <v>15</v>
      </c>
      <c r="E897" t="s">
        <v>16</v>
      </c>
      <c r="F897" t="s">
        <v>17</v>
      </c>
      <c r="G897" t="s">
        <v>33</v>
      </c>
      <c r="H897" t="s">
        <v>34</v>
      </c>
      <c r="I897" s="3">
        <v>1582</v>
      </c>
      <c r="J897">
        <v>2</v>
      </c>
      <c r="K897" s="5">
        <v>0</v>
      </c>
      <c r="L897" s="3">
        <v>315.89</v>
      </c>
      <c r="M897" t="s">
        <v>35</v>
      </c>
      <c r="N897">
        <f t="shared" si="26"/>
        <v>2024</v>
      </c>
      <c r="O897" t="str">
        <f t="shared" si="27"/>
        <v>February</v>
      </c>
    </row>
    <row r="898" spans="1:15" x14ac:dyDescent="0.2">
      <c r="A898" t="s">
        <v>1007</v>
      </c>
      <c r="B898" s="7">
        <v>45756</v>
      </c>
      <c r="C898" t="s">
        <v>68</v>
      </c>
      <c r="D898" t="s">
        <v>23</v>
      </c>
      <c r="E898" t="s">
        <v>82</v>
      </c>
      <c r="F898" t="s">
        <v>83</v>
      </c>
      <c r="G898" t="s">
        <v>58</v>
      </c>
      <c r="H898" t="s">
        <v>95</v>
      </c>
      <c r="I898" s="3">
        <v>62944</v>
      </c>
      <c r="J898">
        <v>4</v>
      </c>
      <c r="K898" s="5">
        <v>0.2</v>
      </c>
      <c r="L898" s="3">
        <v>3476.76</v>
      </c>
      <c r="M898" t="s">
        <v>20</v>
      </c>
      <c r="N898">
        <f t="shared" ref="N898:N961" si="28">YEAR(B898)</f>
        <v>2025</v>
      </c>
      <c r="O898" t="str">
        <f t="shared" ref="O898:O961" si="29">TEXT(B898,"mmmm")</f>
        <v>April</v>
      </c>
    </row>
    <row r="899" spans="1:15" x14ac:dyDescent="0.2">
      <c r="A899" t="s">
        <v>1008</v>
      </c>
      <c r="B899" s="7">
        <v>45372</v>
      </c>
      <c r="C899" t="s">
        <v>76</v>
      </c>
      <c r="D899" t="s">
        <v>15</v>
      </c>
      <c r="E899" t="s">
        <v>16</v>
      </c>
      <c r="F899" t="s">
        <v>204</v>
      </c>
      <c r="G899" t="s">
        <v>58</v>
      </c>
      <c r="H899" t="s">
        <v>59</v>
      </c>
      <c r="I899" s="3">
        <v>6200</v>
      </c>
      <c r="J899">
        <v>5</v>
      </c>
      <c r="K899" s="5">
        <v>0</v>
      </c>
      <c r="L899" s="3">
        <v>1696.87</v>
      </c>
      <c r="M899" t="s">
        <v>20</v>
      </c>
      <c r="N899">
        <f t="shared" si="28"/>
        <v>2024</v>
      </c>
      <c r="O899" t="str">
        <f t="shared" si="29"/>
        <v>March</v>
      </c>
    </row>
    <row r="900" spans="1:15" x14ac:dyDescent="0.2">
      <c r="A900" t="s">
        <v>1009</v>
      </c>
      <c r="B900" s="7">
        <v>46014</v>
      </c>
      <c r="C900" t="s">
        <v>51</v>
      </c>
      <c r="D900" t="s">
        <v>30</v>
      </c>
      <c r="E900" t="s">
        <v>31</v>
      </c>
      <c r="F900" t="s">
        <v>97</v>
      </c>
      <c r="G900" t="s">
        <v>42</v>
      </c>
      <c r="H900" t="s">
        <v>119</v>
      </c>
      <c r="I900" s="3">
        <v>18895.5</v>
      </c>
      <c r="J900">
        <v>2</v>
      </c>
      <c r="K900" s="5">
        <v>0.15</v>
      </c>
      <c r="L900" s="3">
        <v>1182.6300000000001</v>
      </c>
      <c r="M900" t="s">
        <v>27</v>
      </c>
      <c r="N900">
        <f t="shared" si="28"/>
        <v>2025</v>
      </c>
      <c r="O900" t="str">
        <f t="shared" si="29"/>
        <v>December</v>
      </c>
    </row>
    <row r="901" spans="1:15" x14ac:dyDescent="0.2">
      <c r="A901" t="s">
        <v>1010</v>
      </c>
      <c r="B901" s="7">
        <v>45447</v>
      </c>
      <c r="C901" t="s">
        <v>29</v>
      </c>
      <c r="D901" t="s">
        <v>23</v>
      </c>
      <c r="E901" t="s">
        <v>172</v>
      </c>
      <c r="F901" t="s">
        <v>182</v>
      </c>
      <c r="G901" t="s">
        <v>18</v>
      </c>
      <c r="H901" t="s">
        <v>70</v>
      </c>
      <c r="I901" s="3">
        <v>112934.1</v>
      </c>
      <c r="J901">
        <v>3</v>
      </c>
      <c r="K901" s="5">
        <v>0.05</v>
      </c>
      <c r="L901" s="3">
        <v>13615.02</v>
      </c>
      <c r="M901" t="s">
        <v>40</v>
      </c>
      <c r="N901">
        <f t="shared" si="28"/>
        <v>2024</v>
      </c>
      <c r="O901" t="str">
        <f t="shared" si="29"/>
        <v>June</v>
      </c>
    </row>
    <row r="902" spans="1:15" x14ac:dyDescent="0.2">
      <c r="A902" t="s">
        <v>1011</v>
      </c>
      <c r="B902" s="7">
        <v>45794</v>
      </c>
      <c r="C902" t="s">
        <v>51</v>
      </c>
      <c r="D902" t="s">
        <v>15</v>
      </c>
      <c r="E902" t="s">
        <v>61</v>
      </c>
      <c r="F902" t="s">
        <v>111</v>
      </c>
      <c r="G902" t="s">
        <v>42</v>
      </c>
      <c r="H902" t="s">
        <v>98</v>
      </c>
      <c r="I902" s="3">
        <v>1954</v>
      </c>
      <c r="J902">
        <v>2</v>
      </c>
      <c r="K902" s="5">
        <v>0</v>
      </c>
      <c r="L902" s="3">
        <v>326.05</v>
      </c>
      <c r="M902" t="s">
        <v>35</v>
      </c>
      <c r="N902">
        <f t="shared" si="28"/>
        <v>2025</v>
      </c>
      <c r="O902" t="str">
        <f t="shared" si="29"/>
        <v>May</v>
      </c>
    </row>
    <row r="903" spans="1:15" x14ac:dyDescent="0.2">
      <c r="A903" t="s">
        <v>1012</v>
      </c>
      <c r="B903" s="7">
        <v>45787</v>
      </c>
      <c r="C903" t="s">
        <v>51</v>
      </c>
      <c r="D903" t="s">
        <v>23</v>
      </c>
      <c r="E903" t="s">
        <v>24</v>
      </c>
      <c r="F903" t="s">
        <v>25</v>
      </c>
      <c r="G903" t="s">
        <v>18</v>
      </c>
      <c r="H903" t="s">
        <v>63</v>
      </c>
      <c r="I903" s="3">
        <v>196640.5</v>
      </c>
      <c r="J903">
        <v>5</v>
      </c>
      <c r="K903" s="5">
        <v>0.05</v>
      </c>
      <c r="L903" s="3">
        <v>38353.339999999997</v>
      </c>
      <c r="M903" t="s">
        <v>40</v>
      </c>
      <c r="N903">
        <f t="shared" si="28"/>
        <v>2025</v>
      </c>
      <c r="O903" t="str">
        <f t="shared" si="29"/>
        <v>May</v>
      </c>
    </row>
    <row r="904" spans="1:15" x14ac:dyDescent="0.2">
      <c r="A904" t="s">
        <v>1013</v>
      </c>
      <c r="B904" s="7">
        <v>45516</v>
      </c>
      <c r="C904" t="s">
        <v>37</v>
      </c>
      <c r="D904" t="s">
        <v>30</v>
      </c>
      <c r="E904" t="s">
        <v>31</v>
      </c>
      <c r="F904" t="s">
        <v>97</v>
      </c>
      <c r="G904" t="s">
        <v>42</v>
      </c>
      <c r="H904" t="s">
        <v>43</v>
      </c>
      <c r="I904" s="3">
        <v>74386.899999999994</v>
      </c>
      <c r="J904">
        <v>7</v>
      </c>
      <c r="K904" s="5">
        <v>0.15</v>
      </c>
      <c r="L904" s="3">
        <v>7556.48</v>
      </c>
      <c r="M904" t="s">
        <v>27</v>
      </c>
      <c r="N904">
        <f t="shared" si="28"/>
        <v>2024</v>
      </c>
      <c r="O904" t="str">
        <f t="shared" si="29"/>
        <v>August</v>
      </c>
    </row>
    <row r="905" spans="1:15" x14ac:dyDescent="0.2">
      <c r="A905" t="s">
        <v>1014</v>
      </c>
      <c r="B905" s="7">
        <v>45647</v>
      </c>
      <c r="C905" t="s">
        <v>22</v>
      </c>
      <c r="D905" t="s">
        <v>30</v>
      </c>
      <c r="E905" t="s">
        <v>122</v>
      </c>
      <c r="F905" t="s">
        <v>123</v>
      </c>
      <c r="G905" t="s">
        <v>42</v>
      </c>
      <c r="H905" t="s">
        <v>98</v>
      </c>
      <c r="I905" s="3">
        <v>41409.9</v>
      </c>
      <c r="J905">
        <v>7</v>
      </c>
      <c r="K905" s="5">
        <v>0.1</v>
      </c>
      <c r="L905" s="3">
        <v>7748.73</v>
      </c>
      <c r="M905" t="s">
        <v>40</v>
      </c>
      <c r="N905">
        <f t="shared" si="28"/>
        <v>2024</v>
      </c>
      <c r="O905" t="str">
        <f t="shared" si="29"/>
        <v>December</v>
      </c>
    </row>
    <row r="906" spans="1:15" x14ac:dyDescent="0.2">
      <c r="A906" t="s">
        <v>1015</v>
      </c>
      <c r="B906" s="7">
        <v>45622</v>
      </c>
      <c r="C906" t="s">
        <v>68</v>
      </c>
      <c r="D906" t="s">
        <v>30</v>
      </c>
      <c r="E906" t="s">
        <v>122</v>
      </c>
      <c r="F906" t="s">
        <v>131</v>
      </c>
      <c r="G906" t="s">
        <v>58</v>
      </c>
      <c r="H906" t="s">
        <v>74</v>
      </c>
      <c r="I906" s="3">
        <v>74073.25</v>
      </c>
      <c r="J906">
        <v>5</v>
      </c>
      <c r="K906" s="5">
        <v>0.15</v>
      </c>
      <c r="L906" s="3">
        <v>4048.89</v>
      </c>
      <c r="M906" t="s">
        <v>27</v>
      </c>
      <c r="N906">
        <f t="shared" si="28"/>
        <v>2024</v>
      </c>
      <c r="O906" t="str">
        <f t="shared" si="29"/>
        <v>November</v>
      </c>
    </row>
    <row r="907" spans="1:15" x14ac:dyDescent="0.2">
      <c r="A907" t="s">
        <v>1016</v>
      </c>
      <c r="B907" s="7">
        <v>45639</v>
      </c>
      <c r="C907" t="s">
        <v>14</v>
      </c>
      <c r="D907" t="s">
        <v>30</v>
      </c>
      <c r="E907" t="s">
        <v>122</v>
      </c>
      <c r="F907" t="s">
        <v>160</v>
      </c>
      <c r="G907" t="s">
        <v>58</v>
      </c>
      <c r="H907" t="s">
        <v>59</v>
      </c>
      <c r="I907" s="3">
        <v>11007.5</v>
      </c>
      <c r="J907">
        <v>5</v>
      </c>
      <c r="K907" s="5">
        <v>0.15</v>
      </c>
      <c r="L907" s="3">
        <v>2070.92</v>
      </c>
      <c r="M907" t="s">
        <v>27</v>
      </c>
      <c r="N907">
        <f t="shared" si="28"/>
        <v>2024</v>
      </c>
      <c r="O907" t="str">
        <f t="shared" si="29"/>
        <v>December</v>
      </c>
    </row>
    <row r="908" spans="1:15" x14ac:dyDescent="0.2">
      <c r="A908" t="s">
        <v>1017</v>
      </c>
      <c r="B908" s="7">
        <v>45312</v>
      </c>
      <c r="C908" t="s">
        <v>14</v>
      </c>
      <c r="D908" t="s">
        <v>30</v>
      </c>
      <c r="E908" t="s">
        <v>122</v>
      </c>
      <c r="F908" t="s">
        <v>123</v>
      </c>
      <c r="G908" t="s">
        <v>33</v>
      </c>
      <c r="H908" t="s">
        <v>48</v>
      </c>
      <c r="I908" s="3">
        <v>16773.2</v>
      </c>
      <c r="J908">
        <v>4</v>
      </c>
      <c r="K908" s="5">
        <v>0.05</v>
      </c>
      <c r="L908" s="3">
        <v>3161.62</v>
      </c>
      <c r="M908" t="s">
        <v>49</v>
      </c>
      <c r="N908">
        <f t="shared" si="28"/>
        <v>2024</v>
      </c>
      <c r="O908" t="str">
        <f t="shared" si="29"/>
        <v>January</v>
      </c>
    </row>
    <row r="909" spans="1:15" x14ac:dyDescent="0.2">
      <c r="A909" t="s">
        <v>1018</v>
      </c>
      <c r="B909" s="7">
        <v>45452</v>
      </c>
      <c r="C909" t="s">
        <v>51</v>
      </c>
      <c r="D909" t="s">
        <v>23</v>
      </c>
      <c r="E909" t="s">
        <v>79</v>
      </c>
      <c r="F909" t="s">
        <v>93</v>
      </c>
      <c r="G909" t="s">
        <v>42</v>
      </c>
      <c r="H909" t="s">
        <v>102</v>
      </c>
      <c r="I909" s="3">
        <v>28152</v>
      </c>
      <c r="J909">
        <v>1</v>
      </c>
      <c r="K909" s="5">
        <v>0.2</v>
      </c>
      <c r="L909" s="3">
        <v>1961.86</v>
      </c>
      <c r="M909" t="s">
        <v>49</v>
      </c>
      <c r="N909">
        <f t="shared" si="28"/>
        <v>2024</v>
      </c>
      <c r="O909" t="str">
        <f t="shared" si="29"/>
        <v>June</v>
      </c>
    </row>
    <row r="910" spans="1:15" x14ac:dyDescent="0.2">
      <c r="A910" t="s">
        <v>1019</v>
      </c>
      <c r="B910" s="7">
        <v>45328</v>
      </c>
      <c r="C910" t="s">
        <v>14</v>
      </c>
      <c r="D910" t="s">
        <v>15</v>
      </c>
      <c r="E910" t="s">
        <v>46</v>
      </c>
      <c r="F910" t="s">
        <v>47</v>
      </c>
      <c r="G910" t="s">
        <v>42</v>
      </c>
      <c r="H910" t="s">
        <v>98</v>
      </c>
      <c r="I910" s="3">
        <v>13474.8</v>
      </c>
      <c r="J910">
        <v>6</v>
      </c>
      <c r="K910" s="5">
        <v>0.05</v>
      </c>
      <c r="L910" s="3">
        <v>3442.85</v>
      </c>
      <c r="M910" t="s">
        <v>35</v>
      </c>
      <c r="N910">
        <f t="shared" si="28"/>
        <v>2024</v>
      </c>
      <c r="O910" t="str">
        <f t="shared" si="29"/>
        <v>February</v>
      </c>
    </row>
    <row r="911" spans="1:15" x14ac:dyDescent="0.2">
      <c r="A911" t="s">
        <v>1020</v>
      </c>
      <c r="B911" s="7">
        <v>45996</v>
      </c>
      <c r="C911" t="s">
        <v>76</v>
      </c>
      <c r="D911" t="s">
        <v>23</v>
      </c>
      <c r="E911" t="s">
        <v>172</v>
      </c>
      <c r="F911" t="s">
        <v>182</v>
      </c>
      <c r="G911" t="s">
        <v>58</v>
      </c>
      <c r="H911" t="s">
        <v>59</v>
      </c>
      <c r="I911" s="3">
        <v>56293.2</v>
      </c>
      <c r="J911">
        <v>3</v>
      </c>
      <c r="K911" s="5">
        <v>0.05</v>
      </c>
      <c r="L911" s="3">
        <v>10910.25</v>
      </c>
      <c r="M911" t="s">
        <v>20</v>
      </c>
      <c r="N911">
        <f t="shared" si="28"/>
        <v>2025</v>
      </c>
      <c r="O911" t="str">
        <f t="shared" si="29"/>
        <v>December</v>
      </c>
    </row>
    <row r="912" spans="1:15" x14ac:dyDescent="0.2">
      <c r="A912" t="s">
        <v>1021</v>
      </c>
      <c r="B912" s="7">
        <v>46012</v>
      </c>
      <c r="C912" t="s">
        <v>22</v>
      </c>
      <c r="D912" t="s">
        <v>30</v>
      </c>
      <c r="E912" t="s">
        <v>52</v>
      </c>
      <c r="F912" t="s">
        <v>53</v>
      </c>
      <c r="G912" t="s">
        <v>58</v>
      </c>
      <c r="H912" t="s">
        <v>59</v>
      </c>
      <c r="I912" s="3">
        <v>17910</v>
      </c>
      <c r="J912">
        <v>5</v>
      </c>
      <c r="K912" s="5">
        <v>0</v>
      </c>
      <c r="L912" s="3">
        <v>3239.95</v>
      </c>
      <c r="M912" t="s">
        <v>20</v>
      </c>
      <c r="N912">
        <f t="shared" si="28"/>
        <v>2025</v>
      </c>
      <c r="O912" t="str">
        <f t="shared" si="29"/>
        <v>December</v>
      </c>
    </row>
    <row r="913" spans="1:15" x14ac:dyDescent="0.2">
      <c r="A913" t="s">
        <v>1022</v>
      </c>
      <c r="B913" s="7">
        <v>45315</v>
      </c>
      <c r="C913" t="s">
        <v>68</v>
      </c>
      <c r="D913" t="s">
        <v>23</v>
      </c>
      <c r="E913" t="s">
        <v>172</v>
      </c>
      <c r="F913" t="s">
        <v>173</v>
      </c>
      <c r="G913" t="s">
        <v>33</v>
      </c>
      <c r="H913" t="s">
        <v>128</v>
      </c>
      <c r="I913" s="3">
        <v>82895.399999999994</v>
      </c>
      <c r="J913">
        <v>7</v>
      </c>
      <c r="K913" s="5">
        <v>0.15</v>
      </c>
      <c r="L913" s="3">
        <v>12017.44</v>
      </c>
      <c r="M913" t="s">
        <v>27</v>
      </c>
      <c r="N913">
        <f t="shared" si="28"/>
        <v>2024</v>
      </c>
      <c r="O913" t="str">
        <f t="shared" si="29"/>
        <v>January</v>
      </c>
    </row>
    <row r="914" spans="1:15" x14ac:dyDescent="0.2">
      <c r="A914" t="s">
        <v>1023</v>
      </c>
      <c r="B914" s="7">
        <v>45708</v>
      </c>
      <c r="C914" t="s">
        <v>51</v>
      </c>
      <c r="D914" t="s">
        <v>30</v>
      </c>
      <c r="E914" t="s">
        <v>31</v>
      </c>
      <c r="F914" t="s">
        <v>188</v>
      </c>
      <c r="G914" t="s">
        <v>18</v>
      </c>
      <c r="H914" t="s">
        <v>19</v>
      </c>
      <c r="I914" s="3">
        <v>82744</v>
      </c>
      <c r="J914">
        <v>8</v>
      </c>
      <c r="K914" s="5">
        <v>0</v>
      </c>
      <c r="L914" s="3">
        <v>10297.540000000001</v>
      </c>
      <c r="M914" t="s">
        <v>27</v>
      </c>
      <c r="N914">
        <f t="shared" si="28"/>
        <v>2025</v>
      </c>
      <c r="O914" t="str">
        <f t="shared" si="29"/>
        <v>February</v>
      </c>
    </row>
    <row r="915" spans="1:15" x14ac:dyDescent="0.2">
      <c r="A915" t="s">
        <v>1024</v>
      </c>
      <c r="B915" s="7">
        <v>45755</v>
      </c>
      <c r="C915" t="s">
        <v>76</v>
      </c>
      <c r="D915" t="s">
        <v>30</v>
      </c>
      <c r="E915" t="s">
        <v>104</v>
      </c>
      <c r="F915" t="s">
        <v>105</v>
      </c>
      <c r="G915" t="s">
        <v>33</v>
      </c>
      <c r="H915" t="s">
        <v>109</v>
      </c>
      <c r="I915" s="3">
        <v>87667.199999999997</v>
      </c>
      <c r="J915">
        <v>8</v>
      </c>
      <c r="K915" s="5">
        <v>0.2</v>
      </c>
      <c r="L915" s="3">
        <v>15159.04</v>
      </c>
      <c r="M915" t="s">
        <v>35</v>
      </c>
      <c r="N915">
        <f t="shared" si="28"/>
        <v>2025</v>
      </c>
      <c r="O915" t="str">
        <f t="shared" si="29"/>
        <v>April</v>
      </c>
    </row>
    <row r="916" spans="1:15" x14ac:dyDescent="0.2">
      <c r="A916" t="s">
        <v>1025</v>
      </c>
      <c r="B916" s="7">
        <v>45937</v>
      </c>
      <c r="C916" t="s">
        <v>37</v>
      </c>
      <c r="D916" t="s">
        <v>23</v>
      </c>
      <c r="E916" t="s">
        <v>38</v>
      </c>
      <c r="F916" t="s">
        <v>91</v>
      </c>
      <c r="G916" t="s">
        <v>33</v>
      </c>
      <c r="H916" t="s">
        <v>109</v>
      </c>
      <c r="I916" s="3">
        <v>274363.2</v>
      </c>
      <c r="J916">
        <v>8</v>
      </c>
      <c r="K916" s="5">
        <v>0.1</v>
      </c>
      <c r="L916" s="3">
        <v>22979.08</v>
      </c>
      <c r="M916" t="s">
        <v>20</v>
      </c>
      <c r="N916">
        <f t="shared" si="28"/>
        <v>2025</v>
      </c>
      <c r="O916" t="str">
        <f t="shared" si="29"/>
        <v>October</v>
      </c>
    </row>
    <row r="917" spans="1:15" x14ac:dyDescent="0.2">
      <c r="A917" t="s">
        <v>1026</v>
      </c>
      <c r="B917" s="7">
        <v>45827</v>
      </c>
      <c r="C917" t="s">
        <v>90</v>
      </c>
      <c r="D917" t="s">
        <v>15</v>
      </c>
      <c r="E917" t="s">
        <v>46</v>
      </c>
      <c r="F917" t="s">
        <v>116</v>
      </c>
      <c r="G917" t="s">
        <v>33</v>
      </c>
      <c r="H917" t="s">
        <v>109</v>
      </c>
      <c r="I917" s="3">
        <v>5603.2</v>
      </c>
      <c r="J917">
        <v>4</v>
      </c>
      <c r="K917" s="5">
        <v>0.2</v>
      </c>
      <c r="L917" s="3">
        <v>1107.27</v>
      </c>
      <c r="M917" t="s">
        <v>40</v>
      </c>
      <c r="N917">
        <f t="shared" si="28"/>
        <v>2025</v>
      </c>
      <c r="O917" t="str">
        <f t="shared" si="29"/>
        <v>June</v>
      </c>
    </row>
    <row r="918" spans="1:15" x14ac:dyDescent="0.2">
      <c r="A918" t="s">
        <v>1027</v>
      </c>
      <c r="B918" s="7">
        <v>45905</v>
      </c>
      <c r="C918" t="s">
        <v>22</v>
      </c>
      <c r="D918" t="s">
        <v>23</v>
      </c>
      <c r="E918" t="s">
        <v>38</v>
      </c>
      <c r="F918" t="s">
        <v>91</v>
      </c>
      <c r="G918" t="s">
        <v>42</v>
      </c>
      <c r="H918" t="s">
        <v>43</v>
      </c>
      <c r="I918" s="3">
        <v>301741.2</v>
      </c>
      <c r="J918">
        <v>6</v>
      </c>
      <c r="K918" s="5">
        <v>0.1</v>
      </c>
      <c r="L918" s="3">
        <v>58175.56</v>
      </c>
      <c r="M918" t="s">
        <v>20</v>
      </c>
      <c r="N918">
        <f t="shared" si="28"/>
        <v>2025</v>
      </c>
      <c r="O918" t="str">
        <f t="shared" si="29"/>
        <v>September</v>
      </c>
    </row>
    <row r="919" spans="1:15" x14ac:dyDescent="0.2">
      <c r="A919" t="s">
        <v>1028</v>
      </c>
      <c r="B919" s="7">
        <v>45375</v>
      </c>
      <c r="C919" t="s">
        <v>37</v>
      </c>
      <c r="D919" t="s">
        <v>30</v>
      </c>
      <c r="E919" t="s">
        <v>31</v>
      </c>
      <c r="F919" t="s">
        <v>97</v>
      </c>
      <c r="G919" t="s">
        <v>58</v>
      </c>
      <c r="H919" t="s">
        <v>59</v>
      </c>
      <c r="I919" s="3">
        <v>50937.599999999999</v>
      </c>
      <c r="J919">
        <v>4</v>
      </c>
      <c r="K919" s="5">
        <v>0.2</v>
      </c>
      <c r="L919" s="3">
        <v>7180.24</v>
      </c>
      <c r="M919" t="s">
        <v>49</v>
      </c>
      <c r="N919">
        <f t="shared" si="28"/>
        <v>2024</v>
      </c>
      <c r="O919" t="str">
        <f t="shared" si="29"/>
        <v>March</v>
      </c>
    </row>
    <row r="920" spans="1:15" x14ac:dyDescent="0.2">
      <c r="A920" t="s">
        <v>1029</v>
      </c>
      <c r="B920" s="7">
        <v>45408</v>
      </c>
      <c r="C920" t="s">
        <v>14</v>
      </c>
      <c r="D920" t="s">
        <v>15</v>
      </c>
      <c r="E920" t="s">
        <v>16</v>
      </c>
      <c r="F920" t="s">
        <v>17</v>
      </c>
      <c r="G920" t="s">
        <v>58</v>
      </c>
      <c r="H920" t="s">
        <v>74</v>
      </c>
      <c r="I920" s="3">
        <v>2223</v>
      </c>
      <c r="J920">
        <v>3</v>
      </c>
      <c r="K920" s="5">
        <v>0.05</v>
      </c>
      <c r="L920" s="3">
        <v>344.61</v>
      </c>
      <c r="M920" t="s">
        <v>49</v>
      </c>
      <c r="N920">
        <f t="shared" si="28"/>
        <v>2024</v>
      </c>
      <c r="O920" t="str">
        <f t="shared" si="29"/>
        <v>April</v>
      </c>
    </row>
    <row r="921" spans="1:15" x14ac:dyDescent="0.2">
      <c r="A921" t="s">
        <v>1030</v>
      </c>
      <c r="B921" s="7">
        <v>45593</v>
      </c>
      <c r="C921" t="s">
        <v>68</v>
      </c>
      <c r="D921" t="s">
        <v>30</v>
      </c>
      <c r="E921" t="s">
        <v>31</v>
      </c>
      <c r="F921" t="s">
        <v>188</v>
      </c>
      <c r="G921" t="s">
        <v>58</v>
      </c>
      <c r="H921" t="s">
        <v>74</v>
      </c>
      <c r="I921" s="3">
        <v>7721</v>
      </c>
      <c r="J921">
        <v>7</v>
      </c>
      <c r="K921" s="5">
        <v>0</v>
      </c>
      <c r="L921" s="3">
        <v>1290.1500000000001</v>
      </c>
      <c r="M921" t="s">
        <v>35</v>
      </c>
      <c r="N921">
        <f t="shared" si="28"/>
        <v>2024</v>
      </c>
      <c r="O921" t="str">
        <f t="shared" si="29"/>
        <v>October</v>
      </c>
    </row>
    <row r="922" spans="1:15" x14ac:dyDescent="0.2">
      <c r="A922" t="s">
        <v>1031</v>
      </c>
      <c r="B922" s="7">
        <v>45775</v>
      </c>
      <c r="C922" t="s">
        <v>29</v>
      </c>
      <c r="D922" t="s">
        <v>30</v>
      </c>
      <c r="E922" t="s">
        <v>72</v>
      </c>
      <c r="F922" t="s">
        <v>217</v>
      </c>
      <c r="G922" t="s">
        <v>42</v>
      </c>
      <c r="H922" t="s">
        <v>98</v>
      </c>
      <c r="I922" s="3">
        <v>29996</v>
      </c>
      <c r="J922">
        <v>5</v>
      </c>
      <c r="K922" s="5">
        <v>0.2</v>
      </c>
      <c r="L922" s="3">
        <v>4526.5</v>
      </c>
      <c r="M922" t="s">
        <v>40</v>
      </c>
      <c r="N922">
        <f t="shared" si="28"/>
        <v>2025</v>
      </c>
      <c r="O922" t="str">
        <f t="shared" si="29"/>
        <v>April</v>
      </c>
    </row>
    <row r="923" spans="1:15" x14ac:dyDescent="0.2">
      <c r="A923" t="s">
        <v>1032</v>
      </c>
      <c r="B923" s="7">
        <v>45297</v>
      </c>
      <c r="C923" t="s">
        <v>68</v>
      </c>
      <c r="D923" t="s">
        <v>30</v>
      </c>
      <c r="E923" t="s">
        <v>31</v>
      </c>
      <c r="F923" t="s">
        <v>32</v>
      </c>
      <c r="G923" t="s">
        <v>33</v>
      </c>
      <c r="H923" t="s">
        <v>109</v>
      </c>
      <c r="I923" s="3">
        <v>34027.199999999997</v>
      </c>
      <c r="J923">
        <v>6</v>
      </c>
      <c r="K923" s="5">
        <v>0.15</v>
      </c>
      <c r="L923" s="3">
        <v>1902.45</v>
      </c>
      <c r="M923" t="s">
        <v>40</v>
      </c>
      <c r="N923">
        <f t="shared" si="28"/>
        <v>2024</v>
      </c>
      <c r="O923" t="str">
        <f t="shared" si="29"/>
        <v>January</v>
      </c>
    </row>
    <row r="924" spans="1:15" x14ac:dyDescent="0.2">
      <c r="A924" t="s">
        <v>1033</v>
      </c>
      <c r="B924" s="7">
        <v>45864</v>
      </c>
      <c r="C924" t="s">
        <v>76</v>
      </c>
      <c r="D924" t="s">
        <v>23</v>
      </c>
      <c r="E924" t="s">
        <v>82</v>
      </c>
      <c r="F924" t="s">
        <v>265</v>
      </c>
      <c r="G924" t="s">
        <v>58</v>
      </c>
      <c r="H924" t="s">
        <v>84</v>
      </c>
      <c r="I924" s="3">
        <v>42158</v>
      </c>
      <c r="J924">
        <v>1</v>
      </c>
      <c r="K924" s="5">
        <v>0</v>
      </c>
      <c r="L924" s="3">
        <v>6327.52</v>
      </c>
      <c r="M924" t="s">
        <v>27</v>
      </c>
      <c r="N924">
        <f t="shared" si="28"/>
        <v>2025</v>
      </c>
      <c r="O924" t="str">
        <f t="shared" si="29"/>
        <v>July</v>
      </c>
    </row>
    <row r="925" spans="1:15" x14ac:dyDescent="0.2">
      <c r="A925" t="s">
        <v>1034</v>
      </c>
      <c r="B925" s="7">
        <v>45552</v>
      </c>
      <c r="C925" t="s">
        <v>51</v>
      </c>
      <c r="D925" t="s">
        <v>15</v>
      </c>
      <c r="E925" t="s">
        <v>16</v>
      </c>
      <c r="F925" t="s">
        <v>204</v>
      </c>
      <c r="G925" t="s">
        <v>33</v>
      </c>
      <c r="H925" t="s">
        <v>34</v>
      </c>
      <c r="I925" s="3">
        <v>8982.4</v>
      </c>
      <c r="J925">
        <v>7</v>
      </c>
      <c r="K925" s="5">
        <v>0.2</v>
      </c>
      <c r="L925" s="3">
        <v>1647.35</v>
      </c>
      <c r="M925" t="s">
        <v>35</v>
      </c>
      <c r="N925">
        <f t="shared" si="28"/>
        <v>2024</v>
      </c>
      <c r="O925" t="str">
        <f t="shared" si="29"/>
        <v>September</v>
      </c>
    </row>
    <row r="926" spans="1:15" x14ac:dyDescent="0.2">
      <c r="A926" t="s">
        <v>1035</v>
      </c>
      <c r="B926" s="7">
        <v>45826</v>
      </c>
      <c r="C926" t="s">
        <v>90</v>
      </c>
      <c r="D926" t="s">
        <v>15</v>
      </c>
      <c r="E926" t="s">
        <v>46</v>
      </c>
      <c r="F926" t="s">
        <v>176</v>
      </c>
      <c r="G926" t="s">
        <v>18</v>
      </c>
      <c r="H926" t="s">
        <v>26</v>
      </c>
      <c r="I926" s="3">
        <v>3763.2</v>
      </c>
      <c r="J926">
        <v>4</v>
      </c>
      <c r="K926" s="5">
        <v>0.2</v>
      </c>
      <c r="L926" s="3">
        <v>189.91</v>
      </c>
      <c r="M926" t="s">
        <v>49</v>
      </c>
      <c r="N926">
        <f t="shared" si="28"/>
        <v>2025</v>
      </c>
      <c r="O926" t="str">
        <f t="shared" si="29"/>
        <v>June</v>
      </c>
    </row>
    <row r="927" spans="1:15" x14ac:dyDescent="0.2">
      <c r="A927" t="s">
        <v>1036</v>
      </c>
      <c r="B927" s="7">
        <v>45921</v>
      </c>
      <c r="C927" t="s">
        <v>55</v>
      </c>
      <c r="D927" t="s">
        <v>30</v>
      </c>
      <c r="E927" t="s">
        <v>72</v>
      </c>
      <c r="F927" t="s">
        <v>217</v>
      </c>
      <c r="G927" t="s">
        <v>42</v>
      </c>
      <c r="H927" t="s">
        <v>43</v>
      </c>
      <c r="I927" s="3">
        <v>25188</v>
      </c>
      <c r="J927">
        <v>3</v>
      </c>
      <c r="K927" s="5">
        <v>0</v>
      </c>
      <c r="L927" s="3">
        <v>6697.73</v>
      </c>
      <c r="M927" t="s">
        <v>40</v>
      </c>
      <c r="N927">
        <f t="shared" si="28"/>
        <v>2025</v>
      </c>
      <c r="O927" t="str">
        <f t="shared" si="29"/>
        <v>September</v>
      </c>
    </row>
    <row r="928" spans="1:15" x14ac:dyDescent="0.2">
      <c r="A928" t="s">
        <v>1037</v>
      </c>
      <c r="B928" s="7">
        <v>45626</v>
      </c>
      <c r="C928" t="s">
        <v>68</v>
      </c>
      <c r="D928" t="s">
        <v>23</v>
      </c>
      <c r="E928" t="s">
        <v>38</v>
      </c>
      <c r="F928" t="s">
        <v>140</v>
      </c>
      <c r="G928" t="s">
        <v>18</v>
      </c>
      <c r="H928" t="s">
        <v>19</v>
      </c>
      <c r="I928" s="3">
        <v>8649.6</v>
      </c>
      <c r="J928">
        <v>1</v>
      </c>
      <c r="K928" s="5">
        <v>0.15</v>
      </c>
      <c r="L928" s="3">
        <v>1517.73</v>
      </c>
      <c r="M928" t="s">
        <v>35</v>
      </c>
      <c r="N928">
        <f t="shared" si="28"/>
        <v>2024</v>
      </c>
      <c r="O928" t="str">
        <f t="shared" si="29"/>
        <v>November</v>
      </c>
    </row>
    <row r="929" spans="1:15" x14ac:dyDescent="0.2">
      <c r="A929" t="s">
        <v>1038</v>
      </c>
      <c r="B929" s="7">
        <v>45911</v>
      </c>
      <c r="C929" t="s">
        <v>76</v>
      </c>
      <c r="D929" t="s">
        <v>23</v>
      </c>
      <c r="E929" t="s">
        <v>24</v>
      </c>
      <c r="F929" t="s">
        <v>86</v>
      </c>
      <c r="G929" t="s">
        <v>58</v>
      </c>
      <c r="H929" t="s">
        <v>59</v>
      </c>
      <c r="I929" s="3">
        <v>176140.79999999999</v>
      </c>
      <c r="J929">
        <v>8</v>
      </c>
      <c r="K929" s="5">
        <v>0.1</v>
      </c>
      <c r="L929" s="3">
        <v>28382.82</v>
      </c>
      <c r="M929" t="s">
        <v>40</v>
      </c>
      <c r="N929">
        <f t="shared" si="28"/>
        <v>2025</v>
      </c>
      <c r="O929" t="str">
        <f t="shared" si="29"/>
        <v>September</v>
      </c>
    </row>
    <row r="930" spans="1:15" x14ac:dyDescent="0.2">
      <c r="A930" t="s">
        <v>1039</v>
      </c>
      <c r="B930" s="7">
        <v>45959</v>
      </c>
      <c r="C930" t="s">
        <v>45</v>
      </c>
      <c r="D930" t="s">
        <v>15</v>
      </c>
      <c r="E930" t="s">
        <v>65</v>
      </c>
      <c r="F930" t="s">
        <v>222</v>
      </c>
      <c r="G930" t="s">
        <v>33</v>
      </c>
      <c r="H930" t="s">
        <v>109</v>
      </c>
      <c r="I930" s="3">
        <v>3788.8</v>
      </c>
      <c r="J930">
        <v>8</v>
      </c>
      <c r="K930" s="5">
        <v>0.2</v>
      </c>
      <c r="L930" s="3">
        <v>795.47</v>
      </c>
      <c r="M930" t="s">
        <v>40</v>
      </c>
      <c r="N930">
        <f t="shared" si="28"/>
        <v>2025</v>
      </c>
      <c r="O930" t="str">
        <f t="shared" si="29"/>
        <v>October</v>
      </c>
    </row>
    <row r="931" spans="1:15" x14ac:dyDescent="0.2">
      <c r="A931" t="s">
        <v>1040</v>
      </c>
      <c r="B931" s="7">
        <v>45302</v>
      </c>
      <c r="C931" t="s">
        <v>76</v>
      </c>
      <c r="D931" t="s">
        <v>23</v>
      </c>
      <c r="E931" t="s">
        <v>79</v>
      </c>
      <c r="F931" t="s">
        <v>93</v>
      </c>
      <c r="G931" t="s">
        <v>58</v>
      </c>
      <c r="H931" t="s">
        <v>84</v>
      </c>
      <c r="I931" s="3">
        <v>95823</v>
      </c>
      <c r="J931">
        <v>7</v>
      </c>
      <c r="K931" s="5">
        <v>0.1</v>
      </c>
      <c r="L931" s="3">
        <v>8700.84</v>
      </c>
      <c r="M931" t="s">
        <v>49</v>
      </c>
      <c r="N931">
        <f t="shared" si="28"/>
        <v>2024</v>
      </c>
      <c r="O931" t="str">
        <f t="shared" si="29"/>
        <v>January</v>
      </c>
    </row>
    <row r="932" spans="1:15" x14ac:dyDescent="0.2">
      <c r="A932" t="s">
        <v>1041</v>
      </c>
      <c r="B932" s="7">
        <v>45305</v>
      </c>
      <c r="C932" t="s">
        <v>90</v>
      </c>
      <c r="D932" t="s">
        <v>30</v>
      </c>
      <c r="E932" t="s">
        <v>72</v>
      </c>
      <c r="F932" t="s">
        <v>73</v>
      </c>
      <c r="G932" t="s">
        <v>33</v>
      </c>
      <c r="H932" t="s">
        <v>128</v>
      </c>
      <c r="I932" s="3">
        <v>17473.5</v>
      </c>
      <c r="J932">
        <v>5</v>
      </c>
      <c r="K932" s="5">
        <v>0.1</v>
      </c>
      <c r="L932" s="3">
        <v>2718.15</v>
      </c>
      <c r="M932" t="s">
        <v>27</v>
      </c>
      <c r="N932">
        <f t="shared" si="28"/>
        <v>2024</v>
      </c>
      <c r="O932" t="str">
        <f t="shared" si="29"/>
        <v>January</v>
      </c>
    </row>
    <row r="933" spans="1:15" x14ac:dyDescent="0.2">
      <c r="A933" t="s">
        <v>1042</v>
      </c>
      <c r="B933" s="7">
        <v>45774</v>
      </c>
      <c r="C933" t="s">
        <v>90</v>
      </c>
      <c r="D933" t="s">
        <v>23</v>
      </c>
      <c r="E933" t="s">
        <v>79</v>
      </c>
      <c r="F933" t="s">
        <v>107</v>
      </c>
      <c r="G933" t="s">
        <v>58</v>
      </c>
      <c r="H933" t="s">
        <v>59</v>
      </c>
      <c r="I933" s="3">
        <v>95840</v>
      </c>
      <c r="J933">
        <v>5</v>
      </c>
      <c r="K933" s="5">
        <v>0</v>
      </c>
      <c r="L933" s="3">
        <v>24212.74</v>
      </c>
      <c r="M933" t="s">
        <v>49</v>
      </c>
      <c r="N933">
        <f t="shared" si="28"/>
        <v>2025</v>
      </c>
      <c r="O933" t="str">
        <f t="shared" si="29"/>
        <v>April</v>
      </c>
    </row>
    <row r="934" spans="1:15" x14ac:dyDescent="0.2">
      <c r="A934" t="s">
        <v>1043</v>
      </c>
      <c r="B934" s="7">
        <v>45414</v>
      </c>
      <c r="C934" t="s">
        <v>14</v>
      </c>
      <c r="D934" t="s">
        <v>30</v>
      </c>
      <c r="E934" t="s">
        <v>31</v>
      </c>
      <c r="F934" t="s">
        <v>32</v>
      </c>
      <c r="G934" t="s">
        <v>58</v>
      </c>
      <c r="H934" t="s">
        <v>95</v>
      </c>
      <c r="I934" s="3">
        <v>33168.300000000003</v>
      </c>
      <c r="J934">
        <v>6</v>
      </c>
      <c r="K934" s="5">
        <v>0.05</v>
      </c>
      <c r="L934" s="3">
        <v>2788.29</v>
      </c>
      <c r="M934" t="s">
        <v>49</v>
      </c>
      <c r="N934">
        <f t="shared" si="28"/>
        <v>2024</v>
      </c>
      <c r="O934" t="str">
        <f t="shared" si="29"/>
        <v>May</v>
      </c>
    </row>
    <row r="935" spans="1:15" x14ac:dyDescent="0.2">
      <c r="A935" t="s">
        <v>1044</v>
      </c>
      <c r="B935" s="7">
        <v>45616</v>
      </c>
      <c r="C935" t="s">
        <v>55</v>
      </c>
      <c r="D935" t="s">
        <v>15</v>
      </c>
      <c r="E935" t="s">
        <v>16</v>
      </c>
      <c r="F935" t="s">
        <v>230</v>
      </c>
      <c r="G935" t="s">
        <v>42</v>
      </c>
      <c r="H935" t="s">
        <v>102</v>
      </c>
      <c r="I935" s="3">
        <v>756</v>
      </c>
      <c r="J935">
        <v>5</v>
      </c>
      <c r="K935" s="5">
        <v>0.1</v>
      </c>
      <c r="L935" s="3">
        <v>168.18</v>
      </c>
      <c r="M935" t="s">
        <v>35</v>
      </c>
      <c r="N935">
        <f t="shared" si="28"/>
        <v>2024</v>
      </c>
      <c r="O935" t="str">
        <f t="shared" si="29"/>
        <v>November</v>
      </c>
    </row>
    <row r="936" spans="1:15" x14ac:dyDescent="0.2">
      <c r="A936" t="s">
        <v>1045</v>
      </c>
      <c r="B936" s="7">
        <v>45377</v>
      </c>
      <c r="C936" t="s">
        <v>55</v>
      </c>
      <c r="D936" t="s">
        <v>15</v>
      </c>
      <c r="E936" t="s">
        <v>65</v>
      </c>
      <c r="F936" t="s">
        <v>66</v>
      </c>
      <c r="G936" t="s">
        <v>18</v>
      </c>
      <c r="H936" t="s">
        <v>63</v>
      </c>
      <c r="I936" s="3">
        <v>2046.3</v>
      </c>
      <c r="J936">
        <v>1</v>
      </c>
      <c r="K936" s="5">
        <v>0.05</v>
      </c>
      <c r="L936" s="3">
        <v>436.46</v>
      </c>
      <c r="M936" t="s">
        <v>49</v>
      </c>
      <c r="N936">
        <f t="shared" si="28"/>
        <v>2024</v>
      </c>
      <c r="O936" t="str">
        <f t="shared" si="29"/>
        <v>March</v>
      </c>
    </row>
    <row r="937" spans="1:15" x14ac:dyDescent="0.2">
      <c r="A937" t="s">
        <v>1046</v>
      </c>
      <c r="B937" s="7">
        <v>45769</v>
      </c>
      <c r="C937" t="s">
        <v>90</v>
      </c>
      <c r="D937" t="s">
        <v>23</v>
      </c>
      <c r="E937" t="s">
        <v>79</v>
      </c>
      <c r="F937" t="s">
        <v>107</v>
      </c>
      <c r="G937" t="s">
        <v>33</v>
      </c>
      <c r="H937" t="s">
        <v>109</v>
      </c>
      <c r="I937" s="3">
        <v>19432.8</v>
      </c>
      <c r="J937">
        <v>1</v>
      </c>
      <c r="K937" s="5">
        <v>0.1</v>
      </c>
      <c r="L937" s="3">
        <v>1526.31</v>
      </c>
      <c r="M937" t="s">
        <v>20</v>
      </c>
      <c r="N937">
        <f t="shared" si="28"/>
        <v>2025</v>
      </c>
      <c r="O937" t="str">
        <f t="shared" si="29"/>
        <v>April</v>
      </c>
    </row>
    <row r="938" spans="1:15" x14ac:dyDescent="0.2">
      <c r="A938" t="s">
        <v>1047</v>
      </c>
      <c r="B938" s="7">
        <v>45312</v>
      </c>
      <c r="C938" t="s">
        <v>55</v>
      </c>
      <c r="D938" t="s">
        <v>15</v>
      </c>
      <c r="E938" t="s">
        <v>61</v>
      </c>
      <c r="F938" t="s">
        <v>111</v>
      </c>
      <c r="G938" t="s">
        <v>18</v>
      </c>
      <c r="H938" t="s">
        <v>70</v>
      </c>
      <c r="I938" s="3">
        <v>2322</v>
      </c>
      <c r="J938">
        <v>3</v>
      </c>
      <c r="K938" s="5">
        <v>0.1</v>
      </c>
      <c r="L938" s="3">
        <v>402.24</v>
      </c>
      <c r="M938" t="s">
        <v>20</v>
      </c>
      <c r="N938">
        <f t="shared" si="28"/>
        <v>2024</v>
      </c>
      <c r="O938" t="str">
        <f t="shared" si="29"/>
        <v>January</v>
      </c>
    </row>
    <row r="939" spans="1:15" x14ac:dyDescent="0.2">
      <c r="A939" t="s">
        <v>1048</v>
      </c>
      <c r="B939" s="7">
        <v>46014</v>
      </c>
      <c r="C939" t="s">
        <v>68</v>
      </c>
      <c r="D939" t="s">
        <v>23</v>
      </c>
      <c r="E939" t="s">
        <v>79</v>
      </c>
      <c r="F939" t="s">
        <v>93</v>
      </c>
      <c r="G939" t="s">
        <v>58</v>
      </c>
      <c r="H939" t="s">
        <v>95</v>
      </c>
      <c r="I939" s="3">
        <v>76932</v>
      </c>
      <c r="J939">
        <v>4</v>
      </c>
      <c r="K939" s="5">
        <v>0.1</v>
      </c>
      <c r="L939" s="3">
        <v>5051.8999999999996</v>
      </c>
      <c r="M939" t="s">
        <v>40</v>
      </c>
      <c r="N939">
        <f t="shared" si="28"/>
        <v>2025</v>
      </c>
      <c r="O939" t="str">
        <f t="shared" si="29"/>
        <v>December</v>
      </c>
    </row>
    <row r="940" spans="1:15" x14ac:dyDescent="0.2">
      <c r="A940" t="s">
        <v>1049</v>
      </c>
      <c r="B940" s="7">
        <v>45742</v>
      </c>
      <c r="C940" t="s">
        <v>68</v>
      </c>
      <c r="D940" t="s">
        <v>30</v>
      </c>
      <c r="E940" t="s">
        <v>31</v>
      </c>
      <c r="F940" t="s">
        <v>32</v>
      </c>
      <c r="G940" t="s">
        <v>42</v>
      </c>
      <c r="H940" t="s">
        <v>43</v>
      </c>
      <c r="I940" s="3">
        <v>26380.799999999999</v>
      </c>
      <c r="J940">
        <v>4</v>
      </c>
      <c r="K940" s="5">
        <v>0.1</v>
      </c>
      <c r="L940" s="3">
        <v>2819.34</v>
      </c>
      <c r="M940" t="s">
        <v>20</v>
      </c>
      <c r="N940">
        <f t="shared" si="28"/>
        <v>2025</v>
      </c>
      <c r="O940" t="str">
        <f t="shared" si="29"/>
        <v>March</v>
      </c>
    </row>
    <row r="941" spans="1:15" x14ac:dyDescent="0.2">
      <c r="A941" t="s">
        <v>1050</v>
      </c>
      <c r="B941" s="7">
        <v>45842</v>
      </c>
      <c r="C941" t="s">
        <v>90</v>
      </c>
      <c r="D941" t="s">
        <v>30</v>
      </c>
      <c r="E941" t="s">
        <v>104</v>
      </c>
      <c r="F941" t="s">
        <v>170</v>
      </c>
      <c r="G941" t="s">
        <v>42</v>
      </c>
      <c r="H941" t="s">
        <v>119</v>
      </c>
      <c r="I941" s="3">
        <v>40870.400000000001</v>
      </c>
      <c r="J941">
        <v>8</v>
      </c>
      <c r="K941" s="5">
        <v>0.2</v>
      </c>
      <c r="L941" s="3">
        <v>4378.7</v>
      </c>
      <c r="M941" t="s">
        <v>40</v>
      </c>
      <c r="N941">
        <f t="shared" si="28"/>
        <v>2025</v>
      </c>
      <c r="O941" t="str">
        <f t="shared" si="29"/>
        <v>July</v>
      </c>
    </row>
    <row r="942" spans="1:15" x14ac:dyDescent="0.2">
      <c r="A942" t="s">
        <v>1051</v>
      </c>
      <c r="B942" s="7">
        <v>45507</v>
      </c>
      <c r="C942" t="s">
        <v>68</v>
      </c>
      <c r="D942" t="s">
        <v>15</v>
      </c>
      <c r="E942" t="s">
        <v>61</v>
      </c>
      <c r="F942" t="s">
        <v>111</v>
      </c>
      <c r="G942" t="s">
        <v>42</v>
      </c>
      <c r="H942" t="s">
        <v>119</v>
      </c>
      <c r="I942" s="3">
        <v>12738.6</v>
      </c>
      <c r="J942">
        <v>6</v>
      </c>
      <c r="K942" s="5">
        <v>0.1</v>
      </c>
      <c r="L942" s="3">
        <v>931.85</v>
      </c>
      <c r="M942" t="s">
        <v>40</v>
      </c>
      <c r="N942">
        <f t="shared" si="28"/>
        <v>2024</v>
      </c>
      <c r="O942" t="str">
        <f t="shared" si="29"/>
        <v>August</v>
      </c>
    </row>
    <row r="943" spans="1:15" x14ac:dyDescent="0.2">
      <c r="A943" t="s">
        <v>1052</v>
      </c>
      <c r="B943" s="7">
        <v>45869</v>
      </c>
      <c r="C943" t="s">
        <v>22</v>
      </c>
      <c r="D943" t="s">
        <v>30</v>
      </c>
      <c r="E943" t="s">
        <v>104</v>
      </c>
      <c r="F943" t="s">
        <v>170</v>
      </c>
      <c r="G943" t="s">
        <v>18</v>
      </c>
      <c r="H943" t="s">
        <v>70</v>
      </c>
      <c r="I943" s="3">
        <v>12914.4</v>
      </c>
      <c r="J943">
        <v>3</v>
      </c>
      <c r="K943" s="5">
        <v>0.2</v>
      </c>
      <c r="L943" s="3">
        <v>1221.68</v>
      </c>
      <c r="M943" t="s">
        <v>35</v>
      </c>
      <c r="N943">
        <f t="shared" si="28"/>
        <v>2025</v>
      </c>
      <c r="O943" t="str">
        <f t="shared" si="29"/>
        <v>July</v>
      </c>
    </row>
    <row r="944" spans="1:15" x14ac:dyDescent="0.2">
      <c r="A944" t="s">
        <v>1053</v>
      </c>
      <c r="B944" s="7">
        <v>45394</v>
      </c>
      <c r="C944" t="s">
        <v>55</v>
      </c>
      <c r="D944" t="s">
        <v>23</v>
      </c>
      <c r="E944" t="s">
        <v>79</v>
      </c>
      <c r="F944" t="s">
        <v>107</v>
      </c>
      <c r="G944" t="s">
        <v>18</v>
      </c>
      <c r="H944" t="s">
        <v>19</v>
      </c>
      <c r="I944" s="3">
        <v>77805.899999999994</v>
      </c>
      <c r="J944">
        <v>3</v>
      </c>
      <c r="K944" s="5">
        <v>0.1</v>
      </c>
      <c r="L944" s="3">
        <v>14361.12</v>
      </c>
      <c r="M944" t="s">
        <v>27</v>
      </c>
      <c r="N944">
        <f t="shared" si="28"/>
        <v>2024</v>
      </c>
      <c r="O944" t="str">
        <f t="shared" si="29"/>
        <v>April</v>
      </c>
    </row>
    <row r="945" spans="1:15" x14ac:dyDescent="0.2">
      <c r="A945" t="s">
        <v>1054</v>
      </c>
      <c r="B945" s="7">
        <v>45776</v>
      </c>
      <c r="C945" t="s">
        <v>76</v>
      </c>
      <c r="D945" t="s">
        <v>30</v>
      </c>
      <c r="E945" t="s">
        <v>31</v>
      </c>
      <c r="F945" t="s">
        <v>32</v>
      </c>
      <c r="G945" t="s">
        <v>58</v>
      </c>
      <c r="H945" t="s">
        <v>74</v>
      </c>
      <c r="I945" s="3">
        <v>107140.8</v>
      </c>
      <c r="J945">
        <v>8</v>
      </c>
      <c r="K945" s="5">
        <v>0.15</v>
      </c>
      <c r="L945" s="3">
        <v>20216.5</v>
      </c>
      <c r="M945" t="s">
        <v>27</v>
      </c>
      <c r="N945">
        <f t="shared" si="28"/>
        <v>2025</v>
      </c>
      <c r="O945" t="str">
        <f t="shared" si="29"/>
        <v>April</v>
      </c>
    </row>
    <row r="946" spans="1:15" x14ac:dyDescent="0.2">
      <c r="A946" t="s">
        <v>1055</v>
      </c>
      <c r="B946" s="7">
        <v>45728</v>
      </c>
      <c r="C946" t="s">
        <v>68</v>
      </c>
      <c r="D946" t="s">
        <v>15</v>
      </c>
      <c r="E946" t="s">
        <v>65</v>
      </c>
      <c r="F946" t="s">
        <v>222</v>
      </c>
      <c r="G946" t="s">
        <v>42</v>
      </c>
      <c r="H946" t="s">
        <v>43</v>
      </c>
      <c r="I946" s="3">
        <v>5930.4</v>
      </c>
      <c r="J946">
        <v>7</v>
      </c>
      <c r="K946" s="5">
        <v>0.2</v>
      </c>
      <c r="L946" s="3">
        <v>305.83999999999997</v>
      </c>
      <c r="M946" t="s">
        <v>35</v>
      </c>
      <c r="N946">
        <f t="shared" si="28"/>
        <v>2025</v>
      </c>
      <c r="O946" t="str">
        <f t="shared" si="29"/>
        <v>March</v>
      </c>
    </row>
    <row r="947" spans="1:15" x14ac:dyDescent="0.2">
      <c r="A947" t="s">
        <v>1056</v>
      </c>
      <c r="B947" s="7">
        <v>45873</v>
      </c>
      <c r="C947" t="s">
        <v>55</v>
      </c>
      <c r="D947" t="s">
        <v>30</v>
      </c>
      <c r="E947" t="s">
        <v>72</v>
      </c>
      <c r="F947" t="s">
        <v>73</v>
      </c>
      <c r="G947" t="s">
        <v>18</v>
      </c>
      <c r="H947" t="s">
        <v>26</v>
      </c>
      <c r="I947" s="3">
        <v>30349.65</v>
      </c>
      <c r="J947">
        <v>3</v>
      </c>
      <c r="K947" s="5">
        <v>0.05</v>
      </c>
      <c r="L947" s="3">
        <v>7824.1</v>
      </c>
      <c r="M947" t="s">
        <v>40</v>
      </c>
      <c r="N947">
        <f t="shared" si="28"/>
        <v>2025</v>
      </c>
      <c r="O947" t="str">
        <f t="shared" si="29"/>
        <v>August</v>
      </c>
    </row>
    <row r="948" spans="1:15" x14ac:dyDescent="0.2">
      <c r="A948" t="s">
        <v>1057</v>
      </c>
      <c r="B948" s="7">
        <v>45292</v>
      </c>
      <c r="C948" t="s">
        <v>55</v>
      </c>
      <c r="D948" t="s">
        <v>15</v>
      </c>
      <c r="E948" t="s">
        <v>65</v>
      </c>
      <c r="F948" t="s">
        <v>66</v>
      </c>
      <c r="G948" t="s">
        <v>18</v>
      </c>
      <c r="H948" t="s">
        <v>70</v>
      </c>
      <c r="I948" s="3">
        <v>5043.8999999999996</v>
      </c>
      <c r="J948">
        <v>3</v>
      </c>
      <c r="K948" s="5">
        <v>0.15</v>
      </c>
      <c r="L948" s="3">
        <v>381.16</v>
      </c>
      <c r="M948" t="s">
        <v>40</v>
      </c>
      <c r="N948">
        <f t="shared" si="28"/>
        <v>2024</v>
      </c>
      <c r="O948" t="str">
        <f t="shared" si="29"/>
        <v>January</v>
      </c>
    </row>
    <row r="949" spans="1:15" x14ac:dyDescent="0.2">
      <c r="A949" t="s">
        <v>1058</v>
      </c>
      <c r="B949" s="7">
        <v>45449</v>
      </c>
      <c r="C949" t="s">
        <v>51</v>
      </c>
      <c r="D949" t="s">
        <v>23</v>
      </c>
      <c r="E949" t="s">
        <v>79</v>
      </c>
      <c r="F949" t="s">
        <v>107</v>
      </c>
      <c r="G949" t="s">
        <v>42</v>
      </c>
      <c r="H949" t="s">
        <v>102</v>
      </c>
      <c r="I949" s="3">
        <v>229656</v>
      </c>
      <c r="J949">
        <v>4</v>
      </c>
      <c r="K949" s="5">
        <v>0</v>
      </c>
      <c r="L949" s="3">
        <v>51632.84</v>
      </c>
      <c r="M949" t="s">
        <v>27</v>
      </c>
      <c r="N949">
        <f t="shared" si="28"/>
        <v>2024</v>
      </c>
      <c r="O949" t="str">
        <f t="shared" si="29"/>
        <v>June</v>
      </c>
    </row>
    <row r="950" spans="1:15" x14ac:dyDescent="0.2">
      <c r="A950" t="s">
        <v>1059</v>
      </c>
      <c r="B950" s="7">
        <v>45766</v>
      </c>
      <c r="C950" t="s">
        <v>76</v>
      </c>
      <c r="D950" t="s">
        <v>23</v>
      </c>
      <c r="E950" t="s">
        <v>38</v>
      </c>
      <c r="F950" t="s">
        <v>140</v>
      </c>
      <c r="G950" t="s">
        <v>33</v>
      </c>
      <c r="H950" t="s">
        <v>34</v>
      </c>
      <c r="I950" s="3">
        <v>253184.4</v>
      </c>
      <c r="J950">
        <v>8</v>
      </c>
      <c r="K950" s="5">
        <v>0.15</v>
      </c>
      <c r="L950" s="3">
        <v>44607.89</v>
      </c>
      <c r="M950" t="s">
        <v>20</v>
      </c>
      <c r="N950">
        <f t="shared" si="28"/>
        <v>2025</v>
      </c>
      <c r="O950" t="str">
        <f t="shared" si="29"/>
        <v>April</v>
      </c>
    </row>
    <row r="951" spans="1:15" x14ac:dyDescent="0.2">
      <c r="A951" t="s">
        <v>1060</v>
      </c>
      <c r="B951" s="7">
        <v>45365</v>
      </c>
      <c r="C951" t="s">
        <v>45</v>
      </c>
      <c r="D951" t="s">
        <v>30</v>
      </c>
      <c r="E951" t="s">
        <v>31</v>
      </c>
      <c r="F951" t="s">
        <v>97</v>
      </c>
      <c r="G951" t="s">
        <v>42</v>
      </c>
      <c r="H951" t="s">
        <v>98</v>
      </c>
      <c r="I951" s="3">
        <v>48379.199999999997</v>
      </c>
      <c r="J951">
        <v>6</v>
      </c>
      <c r="K951" s="5">
        <v>0.2</v>
      </c>
      <c r="L951" s="3">
        <v>5262.21</v>
      </c>
      <c r="M951" t="s">
        <v>49</v>
      </c>
      <c r="N951">
        <f t="shared" si="28"/>
        <v>2024</v>
      </c>
      <c r="O951" t="str">
        <f t="shared" si="29"/>
        <v>March</v>
      </c>
    </row>
    <row r="952" spans="1:15" x14ac:dyDescent="0.2">
      <c r="A952" t="s">
        <v>1061</v>
      </c>
      <c r="B952" s="7">
        <v>45293</v>
      </c>
      <c r="C952" t="s">
        <v>90</v>
      </c>
      <c r="D952" t="s">
        <v>15</v>
      </c>
      <c r="E952" t="s">
        <v>56</v>
      </c>
      <c r="F952" t="s">
        <v>100</v>
      </c>
      <c r="G952" t="s">
        <v>18</v>
      </c>
      <c r="H952" t="s">
        <v>26</v>
      </c>
      <c r="I952" s="3">
        <v>4349.7</v>
      </c>
      <c r="J952">
        <v>3</v>
      </c>
      <c r="K952" s="5">
        <v>0.1</v>
      </c>
      <c r="L952" s="3">
        <v>534.88</v>
      </c>
      <c r="M952" t="s">
        <v>35</v>
      </c>
      <c r="N952">
        <f t="shared" si="28"/>
        <v>2024</v>
      </c>
      <c r="O952" t="str">
        <f t="shared" si="29"/>
        <v>January</v>
      </c>
    </row>
    <row r="953" spans="1:15" x14ac:dyDescent="0.2">
      <c r="A953" t="s">
        <v>1062</v>
      </c>
      <c r="B953" s="7">
        <v>45685</v>
      </c>
      <c r="C953" t="s">
        <v>55</v>
      </c>
      <c r="D953" t="s">
        <v>30</v>
      </c>
      <c r="E953" t="s">
        <v>52</v>
      </c>
      <c r="F953" t="s">
        <v>127</v>
      </c>
      <c r="G953" t="s">
        <v>33</v>
      </c>
      <c r="H953" t="s">
        <v>48</v>
      </c>
      <c r="I953" s="3">
        <v>26251.4</v>
      </c>
      <c r="J953">
        <v>4</v>
      </c>
      <c r="K953" s="5">
        <v>0.15</v>
      </c>
      <c r="L953" s="3">
        <v>1603.17</v>
      </c>
      <c r="M953" t="s">
        <v>49</v>
      </c>
      <c r="N953">
        <f t="shared" si="28"/>
        <v>2025</v>
      </c>
      <c r="O953" t="str">
        <f t="shared" si="29"/>
        <v>January</v>
      </c>
    </row>
    <row r="954" spans="1:15" x14ac:dyDescent="0.2">
      <c r="A954" t="s">
        <v>1063</v>
      </c>
      <c r="B954" s="7">
        <v>45990</v>
      </c>
      <c r="C954" t="s">
        <v>51</v>
      </c>
      <c r="D954" t="s">
        <v>23</v>
      </c>
      <c r="E954" t="s">
        <v>79</v>
      </c>
      <c r="F954" t="s">
        <v>93</v>
      </c>
      <c r="G954" t="s">
        <v>42</v>
      </c>
      <c r="H954" t="s">
        <v>43</v>
      </c>
      <c r="I954" s="3">
        <v>26463.200000000001</v>
      </c>
      <c r="J954">
        <v>8</v>
      </c>
      <c r="K954" s="5">
        <v>0.05</v>
      </c>
      <c r="L954" s="3">
        <v>2651.84</v>
      </c>
      <c r="M954" t="s">
        <v>20</v>
      </c>
      <c r="N954">
        <f t="shared" si="28"/>
        <v>2025</v>
      </c>
      <c r="O954" t="str">
        <f t="shared" si="29"/>
        <v>November</v>
      </c>
    </row>
    <row r="955" spans="1:15" x14ac:dyDescent="0.2">
      <c r="A955" t="s">
        <v>1064</v>
      </c>
      <c r="B955" s="7">
        <v>45811</v>
      </c>
      <c r="C955" t="s">
        <v>22</v>
      </c>
      <c r="D955" t="s">
        <v>30</v>
      </c>
      <c r="E955" t="s">
        <v>52</v>
      </c>
      <c r="F955" t="s">
        <v>118</v>
      </c>
      <c r="G955" t="s">
        <v>42</v>
      </c>
      <c r="H955" t="s">
        <v>102</v>
      </c>
      <c r="I955" s="3">
        <v>7560</v>
      </c>
      <c r="J955">
        <v>7</v>
      </c>
      <c r="K955" s="5">
        <v>0.1</v>
      </c>
      <c r="L955" s="3">
        <v>610.45000000000005</v>
      </c>
      <c r="M955" t="s">
        <v>49</v>
      </c>
      <c r="N955">
        <f t="shared" si="28"/>
        <v>2025</v>
      </c>
      <c r="O955" t="str">
        <f t="shared" si="29"/>
        <v>June</v>
      </c>
    </row>
    <row r="956" spans="1:15" x14ac:dyDescent="0.2">
      <c r="A956" t="s">
        <v>1065</v>
      </c>
      <c r="B956" s="7">
        <v>45753</v>
      </c>
      <c r="C956" t="s">
        <v>51</v>
      </c>
      <c r="D956" t="s">
        <v>23</v>
      </c>
      <c r="E956" t="s">
        <v>38</v>
      </c>
      <c r="F956" t="s">
        <v>140</v>
      </c>
      <c r="G956" t="s">
        <v>58</v>
      </c>
      <c r="H956" t="s">
        <v>59</v>
      </c>
      <c r="I956" s="3">
        <v>116204</v>
      </c>
      <c r="J956">
        <v>5</v>
      </c>
      <c r="K956" s="5">
        <v>0.2</v>
      </c>
      <c r="L956" s="3">
        <v>22244.35</v>
      </c>
      <c r="M956" t="s">
        <v>27</v>
      </c>
      <c r="N956">
        <f t="shared" si="28"/>
        <v>2025</v>
      </c>
      <c r="O956" t="str">
        <f t="shared" si="29"/>
        <v>April</v>
      </c>
    </row>
    <row r="957" spans="1:15" x14ac:dyDescent="0.2">
      <c r="A957" t="s">
        <v>1066</v>
      </c>
      <c r="B957" s="7">
        <v>46016</v>
      </c>
      <c r="C957" t="s">
        <v>90</v>
      </c>
      <c r="D957" t="s">
        <v>30</v>
      </c>
      <c r="E957" t="s">
        <v>104</v>
      </c>
      <c r="F957" t="s">
        <v>105</v>
      </c>
      <c r="G957" t="s">
        <v>42</v>
      </c>
      <c r="H957" t="s">
        <v>102</v>
      </c>
      <c r="I957" s="3">
        <v>88877.25</v>
      </c>
      <c r="J957">
        <v>7</v>
      </c>
      <c r="K957" s="5">
        <v>0.05</v>
      </c>
      <c r="L957" s="3">
        <v>6122.87</v>
      </c>
      <c r="M957" t="s">
        <v>27</v>
      </c>
      <c r="N957">
        <f t="shared" si="28"/>
        <v>2025</v>
      </c>
      <c r="O957" t="str">
        <f t="shared" si="29"/>
        <v>December</v>
      </c>
    </row>
    <row r="958" spans="1:15" x14ac:dyDescent="0.2">
      <c r="A958" t="s">
        <v>1067</v>
      </c>
      <c r="B958" s="7">
        <v>45343</v>
      </c>
      <c r="C958" t="s">
        <v>90</v>
      </c>
      <c r="D958" t="s">
        <v>23</v>
      </c>
      <c r="E958" t="s">
        <v>172</v>
      </c>
      <c r="F958" t="s">
        <v>182</v>
      </c>
      <c r="G958" t="s">
        <v>58</v>
      </c>
      <c r="H958" t="s">
        <v>59</v>
      </c>
      <c r="I958" s="3">
        <v>133701.6</v>
      </c>
      <c r="J958">
        <v>8</v>
      </c>
      <c r="K958" s="5">
        <v>0.15</v>
      </c>
      <c r="L958" s="3">
        <v>17989.57</v>
      </c>
      <c r="M958" t="s">
        <v>27</v>
      </c>
      <c r="N958">
        <f t="shared" si="28"/>
        <v>2024</v>
      </c>
      <c r="O958" t="str">
        <f t="shared" si="29"/>
        <v>February</v>
      </c>
    </row>
    <row r="959" spans="1:15" x14ac:dyDescent="0.2">
      <c r="A959" t="s">
        <v>1068</v>
      </c>
      <c r="B959" s="7">
        <v>45624</v>
      </c>
      <c r="C959" t="s">
        <v>68</v>
      </c>
      <c r="D959" t="s">
        <v>30</v>
      </c>
      <c r="E959" t="s">
        <v>122</v>
      </c>
      <c r="F959" t="s">
        <v>131</v>
      </c>
      <c r="G959" t="s">
        <v>42</v>
      </c>
      <c r="H959" t="s">
        <v>119</v>
      </c>
      <c r="I959" s="3">
        <v>44234</v>
      </c>
      <c r="J959">
        <v>5</v>
      </c>
      <c r="K959" s="5">
        <v>0.15</v>
      </c>
      <c r="L959" s="3">
        <v>2034.93</v>
      </c>
      <c r="M959" t="s">
        <v>20</v>
      </c>
      <c r="N959">
        <f t="shared" si="28"/>
        <v>2024</v>
      </c>
      <c r="O959" t="str">
        <f t="shared" si="29"/>
        <v>November</v>
      </c>
    </row>
    <row r="960" spans="1:15" x14ac:dyDescent="0.2">
      <c r="A960" t="s">
        <v>1069</v>
      </c>
      <c r="B960" s="7">
        <v>45440</v>
      </c>
      <c r="C960" t="s">
        <v>29</v>
      </c>
      <c r="D960" t="s">
        <v>15</v>
      </c>
      <c r="E960" t="s">
        <v>16</v>
      </c>
      <c r="F960" t="s">
        <v>230</v>
      </c>
      <c r="G960" t="s">
        <v>42</v>
      </c>
      <c r="H960" t="s">
        <v>102</v>
      </c>
      <c r="I960" s="3">
        <v>2486.4</v>
      </c>
      <c r="J960">
        <v>7</v>
      </c>
      <c r="K960" s="5">
        <v>0.2</v>
      </c>
      <c r="L960" s="3">
        <v>121.62</v>
      </c>
      <c r="M960" t="s">
        <v>49</v>
      </c>
      <c r="N960">
        <f t="shared" si="28"/>
        <v>2024</v>
      </c>
      <c r="O960" t="str">
        <f t="shared" si="29"/>
        <v>May</v>
      </c>
    </row>
    <row r="961" spans="1:15" x14ac:dyDescent="0.2">
      <c r="A961" t="s">
        <v>1070</v>
      </c>
      <c r="B961" s="7">
        <v>45915</v>
      </c>
      <c r="C961" t="s">
        <v>37</v>
      </c>
      <c r="D961" t="s">
        <v>30</v>
      </c>
      <c r="E961" t="s">
        <v>104</v>
      </c>
      <c r="F961" t="s">
        <v>170</v>
      </c>
      <c r="G961" t="s">
        <v>58</v>
      </c>
      <c r="H961" t="s">
        <v>74</v>
      </c>
      <c r="I961" s="3">
        <v>23810.400000000001</v>
      </c>
      <c r="J961">
        <v>8</v>
      </c>
      <c r="K961" s="5">
        <v>0.1</v>
      </c>
      <c r="L961" s="3">
        <v>1491.9</v>
      </c>
      <c r="M961" t="s">
        <v>49</v>
      </c>
      <c r="N961">
        <f t="shared" si="28"/>
        <v>2025</v>
      </c>
      <c r="O961" t="str">
        <f t="shared" si="29"/>
        <v>September</v>
      </c>
    </row>
    <row r="962" spans="1:15" x14ac:dyDescent="0.2">
      <c r="A962" t="s">
        <v>1071</v>
      </c>
      <c r="B962" s="7">
        <v>45735</v>
      </c>
      <c r="C962" t="s">
        <v>37</v>
      </c>
      <c r="D962" t="s">
        <v>15</v>
      </c>
      <c r="E962" t="s">
        <v>16</v>
      </c>
      <c r="F962" t="s">
        <v>204</v>
      </c>
      <c r="G962" t="s">
        <v>42</v>
      </c>
      <c r="H962" t="s">
        <v>119</v>
      </c>
      <c r="I962" s="3">
        <v>8064</v>
      </c>
      <c r="J962">
        <v>7</v>
      </c>
      <c r="K962" s="5">
        <v>0</v>
      </c>
      <c r="L962" s="3">
        <v>1994.8</v>
      </c>
      <c r="M962" t="s">
        <v>40</v>
      </c>
      <c r="N962">
        <f t="shared" ref="N962:N1025" si="30">YEAR(B962)</f>
        <v>2025</v>
      </c>
      <c r="O962" t="str">
        <f t="shared" ref="O962:O1025" si="31">TEXT(B962,"mmmm")</f>
        <v>March</v>
      </c>
    </row>
    <row r="963" spans="1:15" x14ac:dyDescent="0.2">
      <c r="A963" t="s">
        <v>1072</v>
      </c>
      <c r="B963" s="7">
        <v>45997</v>
      </c>
      <c r="C963" t="s">
        <v>55</v>
      </c>
      <c r="D963" t="s">
        <v>15</v>
      </c>
      <c r="E963" t="s">
        <v>65</v>
      </c>
      <c r="F963" t="s">
        <v>222</v>
      </c>
      <c r="G963" t="s">
        <v>42</v>
      </c>
      <c r="H963" t="s">
        <v>98</v>
      </c>
      <c r="I963" s="3">
        <v>833.85</v>
      </c>
      <c r="J963">
        <v>1</v>
      </c>
      <c r="K963" s="5">
        <v>0.15</v>
      </c>
      <c r="L963" s="3">
        <v>81.260000000000005</v>
      </c>
      <c r="M963" t="s">
        <v>27</v>
      </c>
      <c r="N963">
        <f t="shared" si="30"/>
        <v>2025</v>
      </c>
      <c r="O963" t="str">
        <f t="shared" si="31"/>
        <v>December</v>
      </c>
    </row>
    <row r="964" spans="1:15" x14ac:dyDescent="0.2">
      <c r="A964" t="s">
        <v>1073</v>
      </c>
      <c r="B964" s="7">
        <v>45716</v>
      </c>
      <c r="C964" t="s">
        <v>55</v>
      </c>
      <c r="D964" t="s">
        <v>15</v>
      </c>
      <c r="E964" t="s">
        <v>16</v>
      </c>
      <c r="F964" t="s">
        <v>230</v>
      </c>
      <c r="G964" t="s">
        <v>58</v>
      </c>
      <c r="H964" t="s">
        <v>74</v>
      </c>
      <c r="I964" s="3">
        <v>8393.25</v>
      </c>
      <c r="J964">
        <v>5</v>
      </c>
      <c r="K964" s="5">
        <v>0.05</v>
      </c>
      <c r="L964" s="3">
        <v>597.97</v>
      </c>
      <c r="M964" t="s">
        <v>27</v>
      </c>
      <c r="N964">
        <f t="shared" si="30"/>
        <v>2025</v>
      </c>
      <c r="O964" t="str">
        <f t="shared" si="31"/>
        <v>February</v>
      </c>
    </row>
    <row r="965" spans="1:15" x14ac:dyDescent="0.2">
      <c r="A965" t="s">
        <v>1074</v>
      </c>
      <c r="B965" s="7">
        <v>46021</v>
      </c>
      <c r="C965" t="s">
        <v>90</v>
      </c>
      <c r="D965" t="s">
        <v>30</v>
      </c>
      <c r="E965" t="s">
        <v>122</v>
      </c>
      <c r="F965" t="s">
        <v>131</v>
      </c>
      <c r="G965" t="s">
        <v>42</v>
      </c>
      <c r="H965" t="s">
        <v>102</v>
      </c>
      <c r="I965" s="3">
        <v>45744</v>
      </c>
      <c r="J965">
        <v>4</v>
      </c>
      <c r="K965" s="5">
        <v>0</v>
      </c>
      <c r="L965" s="3">
        <v>9252.9699999999993</v>
      </c>
      <c r="M965" t="s">
        <v>49</v>
      </c>
      <c r="N965">
        <f t="shared" si="30"/>
        <v>2025</v>
      </c>
      <c r="O965" t="str">
        <f t="shared" si="31"/>
        <v>December</v>
      </c>
    </row>
    <row r="966" spans="1:15" x14ac:dyDescent="0.2">
      <c r="A966" t="s">
        <v>1075</v>
      </c>
      <c r="B966" s="7">
        <v>45447</v>
      </c>
      <c r="C966" t="s">
        <v>29</v>
      </c>
      <c r="D966" t="s">
        <v>15</v>
      </c>
      <c r="E966" t="s">
        <v>61</v>
      </c>
      <c r="F966" t="s">
        <v>62</v>
      </c>
      <c r="G966" t="s">
        <v>42</v>
      </c>
      <c r="H966" t="s">
        <v>43</v>
      </c>
      <c r="I966" s="3">
        <v>1268.0999999999999</v>
      </c>
      <c r="J966">
        <v>1</v>
      </c>
      <c r="K966" s="5">
        <v>0.1</v>
      </c>
      <c r="L966" s="3">
        <v>278.38</v>
      </c>
      <c r="M966" t="s">
        <v>49</v>
      </c>
      <c r="N966">
        <f t="shared" si="30"/>
        <v>2024</v>
      </c>
      <c r="O966" t="str">
        <f t="shared" si="31"/>
        <v>June</v>
      </c>
    </row>
    <row r="967" spans="1:15" x14ac:dyDescent="0.2">
      <c r="A967" t="s">
        <v>1076</v>
      </c>
      <c r="B967" s="7">
        <v>45377</v>
      </c>
      <c r="C967" t="s">
        <v>76</v>
      </c>
      <c r="D967" t="s">
        <v>23</v>
      </c>
      <c r="E967" t="s">
        <v>172</v>
      </c>
      <c r="F967" t="s">
        <v>210</v>
      </c>
      <c r="G967" t="s">
        <v>33</v>
      </c>
      <c r="H967" t="s">
        <v>109</v>
      </c>
      <c r="I967" s="3">
        <v>18558.400000000001</v>
      </c>
      <c r="J967">
        <v>7</v>
      </c>
      <c r="K967" s="5">
        <v>0.2</v>
      </c>
      <c r="L967" s="3">
        <v>4212.5600000000004</v>
      </c>
      <c r="M967" t="s">
        <v>35</v>
      </c>
      <c r="N967">
        <f t="shared" si="30"/>
        <v>2024</v>
      </c>
      <c r="O967" t="str">
        <f t="shared" si="31"/>
        <v>March</v>
      </c>
    </row>
    <row r="968" spans="1:15" x14ac:dyDescent="0.2">
      <c r="A968" t="s">
        <v>1077</v>
      </c>
      <c r="B968" s="7">
        <v>45870</v>
      </c>
      <c r="C968" t="s">
        <v>22</v>
      </c>
      <c r="D968" t="s">
        <v>30</v>
      </c>
      <c r="E968" t="s">
        <v>104</v>
      </c>
      <c r="F968" t="s">
        <v>137</v>
      </c>
      <c r="G968" t="s">
        <v>42</v>
      </c>
      <c r="H968" t="s">
        <v>119</v>
      </c>
      <c r="I968" s="3">
        <v>44900.800000000003</v>
      </c>
      <c r="J968">
        <v>8</v>
      </c>
      <c r="K968" s="5">
        <v>0.05</v>
      </c>
      <c r="L968" s="3">
        <v>8636.7999999999993</v>
      </c>
      <c r="M968" t="s">
        <v>49</v>
      </c>
      <c r="N968">
        <f t="shared" si="30"/>
        <v>2025</v>
      </c>
      <c r="O968" t="str">
        <f t="shared" si="31"/>
        <v>August</v>
      </c>
    </row>
    <row r="969" spans="1:15" x14ac:dyDescent="0.2">
      <c r="A969" t="s">
        <v>1078</v>
      </c>
      <c r="B969" s="7">
        <v>45405</v>
      </c>
      <c r="C969" t="s">
        <v>90</v>
      </c>
      <c r="D969" t="s">
        <v>23</v>
      </c>
      <c r="E969" t="s">
        <v>79</v>
      </c>
      <c r="F969" t="s">
        <v>80</v>
      </c>
      <c r="G969" t="s">
        <v>58</v>
      </c>
      <c r="H969" t="s">
        <v>74</v>
      </c>
      <c r="I969" s="3">
        <v>66300</v>
      </c>
      <c r="J969">
        <v>3</v>
      </c>
      <c r="K969" s="5">
        <v>0.15</v>
      </c>
      <c r="L969" s="3">
        <v>5712.48</v>
      </c>
      <c r="M969" t="s">
        <v>27</v>
      </c>
      <c r="N969">
        <f t="shared" si="30"/>
        <v>2024</v>
      </c>
      <c r="O969" t="str">
        <f t="shared" si="31"/>
        <v>April</v>
      </c>
    </row>
    <row r="970" spans="1:15" x14ac:dyDescent="0.2">
      <c r="A970" t="s">
        <v>1079</v>
      </c>
      <c r="B970" s="7">
        <v>45972</v>
      </c>
      <c r="C970" t="s">
        <v>45</v>
      </c>
      <c r="D970" t="s">
        <v>23</v>
      </c>
      <c r="E970" t="s">
        <v>24</v>
      </c>
      <c r="F970" t="s">
        <v>86</v>
      </c>
      <c r="G970" t="s">
        <v>58</v>
      </c>
      <c r="H970" t="s">
        <v>59</v>
      </c>
      <c r="I970" s="3">
        <v>102978</v>
      </c>
      <c r="J970">
        <v>4</v>
      </c>
      <c r="K970" s="5">
        <v>0.1</v>
      </c>
      <c r="L970" s="3">
        <v>18644.7</v>
      </c>
      <c r="M970" t="s">
        <v>35</v>
      </c>
      <c r="N970">
        <f t="shared" si="30"/>
        <v>2025</v>
      </c>
      <c r="O970" t="str">
        <f t="shared" si="31"/>
        <v>November</v>
      </c>
    </row>
    <row r="971" spans="1:15" x14ac:dyDescent="0.2">
      <c r="A971" t="s">
        <v>1080</v>
      </c>
      <c r="B971" s="7">
        <v>45473</v>
      </c>
      <c r="C971" t="s">
        <v>22</v>
      </c>
      <c r="D971" t="s">
        <v>15</v>
      </c>
      <c r="E971" t="s">
        <v>56</v>
      </c>
      <c r="F971" t="s">
        <v>57</v>
      </c>
      <c r="G971" t="s">
        <v>58</v>
      </c>
      <c r="H971" t="s">
        <v>74</v>
      </c>
      <c r="I971" s="3">
        <v>8649.6</v>
      </c>
      <c r="J971">
        <v>8</v>
      </c>
      <c r="K971" s="5">
        <v>0.15</v>
      </c>
      <c r="L971" s="3">
        <v>639.15</v>
      </c>
      <c r="M971" t="s">
        <v>27</v>
      </c>
      <c r="N971">
        <f t="shared" si="30"/>
        <v>2024</v>
      </c>
      <c r="O971" t="str">
        <f t="shared" si="31"/>
        <v>June</v>
      </c>
    </row>
    <row r="972" spans="1:15" x14ac:dyDescent="0.2">
      <c r="A972" t="s">
        <v>1081</v>
      </c>
      <c r="B972" s="7">
        <v>45720</v>
      </c>
      <c r="C972" t="s">
        <v>22</v>
      </c>
      <c r="D972" t="s">
        <v>23</v>
      </c>
      <c r="E972" t="s">
        <v>172</v>
      </c>
      <c r="F972" t="s">
        <v>173</v>
      </c>
      <c r="G972" t="s">
        <v>42</v>
      </c>
      <c r="H972" t="s">
        <v>43</v>
      </c>
      <c r="I972" s="3">
        <v>110361.60000000001</v>
      </c>
      <c r="J972">
        <v>3</v>
      </c>
      <c r="K972" s="5">
        <v>0.2</v>
      </c>
      <c r="L972" s="3">
        <v>17726.37</v>
      </c>
      <c r="M972" t="s">
        <v>40</v>
      </c>
      <c r="N972">
        <f t="shared" si="30"/>
        <v>2025</v>
      </c>
      <c r="O972" t="str">
        <f t="shared" si="31"/>
        <v>March</v>
      </c>
    </row>
    <row r="973" spans="1:15" x14ac:dyDescent="0.2">
      <c r="A973" t="s">
        <v>1082</v>
      </c>
      <c r="B973" s="7">
        <v>45462</v>
      </c>
      <c r="C973" t="s">
        <v>90</v>
      </c>
      <c r="D973" t="s">
        <v>15</v>
      </c>
      <c r="E973" t="s">
        <v>16</v>
      </c>
      <c r="F973" t="s">
        <v>230</v>
      </c>
      <c r="G973" t="s">
        <v>33</v>
      </c>
      <c r="H973" t="s">
        <v>48</v>
      </c>
      <c r="I973" s="3">
        <v>347.4</v>
      </c>
      <c r="J973">
        <v>2</v>
      </c>
      <c r="K973" s="5">
        <v>0.1</v>
      </c>
      <c r="L973" s="3">
        <v>61.48</v>
      </c>
      <c r="M973" t="s">
        <v>49</v>
      </c>
      <c r="N973">
        <f t="shared" si="30"/>
        <v>2024</v>
      </c>
      <c r="O973" t="str">
        <f t="shared" si="31"/>
        <v>June</v>
      </c>
    </row>
    <row r="974" spans="1:15" x14ac:dyDescent="0.2">
      <c r="A974" t="s">
        <v>1083</v>
      </c>
      <c r="B974" s="7">
        <v>45537</v>
      </c>
      <c r="C974" t="s">
        <v>55</v>
      </c>
      <c r="D974" t="s">
        <v>15</v>
      </c>
      <c r="E974" t="s">
        <v>16</v>
      </c>
      <c r="F974" t="s">
        <v>230</v>
      </c>
      <c r="G974" t="s">
        <v>42</v>
      </c>
      <c r="H974" t="s">
        <v>102</v>
      </c>
      <c r="I974" s="3">
        <v>5918.5</v>
      </c>
      <c r="J974">
        <v>7</v>
      </c>
      <c r="K974" s="5">
        <v>0.05</v>
      </c>
      <c r="L974" s="3">
        <v>941.36</v>
      </c>
      <c r="M974" t="s">
        <v>49</v>
      </c>
      <c r="N974">
        <f t="shared" si="30"/>
        <v>2024</v>
      </c>
      <c r="O974" t="str">
        <f t="shared" si="31"/>
        <v>September</v>
      </c>
    </row>
    <row r="975" spans="1:15" x14ac:dyDescent="0.2">
      <c r="A975" t="s">
        <v>1084</v>
      </c>
      <c r="B975" s="7">
        <v>45542</v>
      </c>
      <c r="C975" t="s">
        <v>90</v>
      </c>
      <c r="D975" t="s">
        <v>15</v>
      </c>
      <c r="E975" t="s">
        <v>46</v>
      </c>
      <c r="F975" t="s">
        <v>47</v>
      </c>
      <c r="G975" t="s">
        <v>42</v>
      </c>
      <c r="H975" t="s">
        <v>98</v>
      </c>
      <c r="I975" s="3">
        <v>1515.2</v>
      </c>
      <c r="J975">
        <v>2</v>
      </c>
      <c r="K975" s="5">
        <v>0.2</v>
      </c>
      <c r="L975" s="3">
        <v>185.21</v>
      </c>
      <c r="M975" t="s">
        <v>49</v>
      </c>
      <c r="N975">
        <f t="shared" si="30"/>
        <v>2024</v>
      </c>
      <c r="O975" t="str">
        <f t="shared" si="31"/>
        <v>September</v>
      </c>
    </row>
    <row r="976" spans="1:15" x14ac:dyDescent="0.2">
      <c r="A976" t="s">
        <v>1085</v>
      </c>
      <c r="B976" s="7">
        <v>45363</v>
      </c>
      <c r="C976" t="s">
        <v>14</v>
      </c>
      <c r="D976" t="s">
        <v>23</v>
      </c>
      <c r="E976" t="s">
        <v>24</v>
      </c>
      <c r="F976" t="s">
        <v>25</v>
      </c>
      <c r="G976" t="s">
        <v>58</v>
      </c>
      <c r="H976" t="s">
        <v>95</v>
      </c>
      <c r="I976" s="3">
        <v>297595.2</v>
      </c>
      <c r="J976">
        <v>6</v>
      </c>
      <c r="K976" s="5">
        <v>0.15</v>
      </c>
      <c r="L976" s="3">
        <v>55623.3</v>
      </c>
      <c r="M976" t="s">
        <v>20</v>
      </c>
      <c r="N976">
        <f t="shared" si="30"/>
        <v>2024</v>
      </c>
      <c r="O976" t="str">
        <f t="shared" si="31"/>
        <v>March</v>
      </c>
    </row>
    <row r="977" spans="1:15" x14ac:dyDescent="0.2">
      <c r="A977" t="s">
        <v>1086</v>
      </c>
      <c r="B977" s="7">
        <v>45913</v>
      </c>
      <c r="C977" t="s">
        <v>51</v>
      </c>
      <c r="D977" t="s">
        <v>15</v>
      </c>
      <c r="E977" t="s">
        <v>61</v>
      </c>
      <c r="F977" t="s">
        <v>111</v>
      </c>
      <c r="G977" t="s">
        <v>58</v>
      </c>
      <c r="H977" t="s">
        <v>59</v>
      </c>
      <c r="I977" s="3">
        <v>16100</v>
      </c>
      <c r="J977">
        <v>7</v>
      </c>
      <c r="K977" s="5">
        <v>0</v>
      </c>
      <c r="L977" s="3">
        <v>3592.86</v>
      </c>
      <c r="M977" t="s">
        <v>20</v>
      </c>
      <c r="N977">
        <f t="shared" si="30"/>
        <v>2025</v>
      </c>
      <c r="O977" t="str">
        <f t="shared" si="31"/>
        <v>September</v>
      </c>
    </row>
    <row r="978" spans="1:15" x14ac:dyDescent="0.2">
      <c r="A978" t="s">
        <v>1087</v>
      </c>
      <c r="B978" s="7">
        <v>45419</v>
      </c>
      <c r="C978" t="s">
        <v>37</v>
      </c>
      <c r="D978" t="s">
        <v>30</v>
      </c>
      <c r="E978" t="s">
        <v>122</v>
      </c>
      <c r="F978" t="s">
        <v>160</v>
      </c>
      <c r="G978" t="s">
        <v>18</v>
      </c>
      <c r="H978" t="s">
        <v>19</v>
      </c>
      <c r="I978" s="3">
        <v>11804.8</v>
      </c>
      <c r="J978">
        <v>1</v>
      </c>
      <c r="K978" s="5">
        <v>0.15</v>
      </c>
      <c r="L978" s="3">
        <v>1513.58</v>
      </c>
      <c r="M978" t="s">
        <v>40</v>
      </c>
      <c r="N978">
        <f t="shared" si="30"/>
        <v>2024</v>
      </c>
      <c r="O978" t="str">
        <f t="shared" si="31"/>
        <v>May</v>
      </c>
    </row>
    <row r="979" spans="1:15" x14ac:dyDescent="0.2">
      <c r="A979" t="s">
        <v>1088</v>
      </c>
      <c r="B979" s="7">
        <v>45507</v>
      </c>
      <c r="C979" t="s">
        <v>68</v>
      </c>
      <c r="D979" t="s">
        <v>30</v>
      </c>
      <c r="E979" t="s">
        <v>72</v>
      </c>
      <c r="F979" t="s">
        <v>207</v>
      </c>
      <c r="G979" t="s">
        <v>18</v>
      </c>
      <c r="H979" t="s">
        <v>26</v>
      </c>
      <c r="I979" s="3">
        <v>79367.75</v>
      </c>
      <c r="J979">
        <v>7</v>
      </c>
      <c r="K979" s="5">
        <v>0.05</v>
      </c>
      <c r="L979" s="3">
        <v>17985.580000000002</v>
      </c>
      <c r="M979" t="s">
        <v>20</v>
      </c>
      <c r="N979">
        <f t="shared" si="30"/>
        <v>2024</v>
      </c>
      <c r="O979" t="str">
        <f t="shared" si="31"/>
        <v>August</v>
      </c>
    </row>
    <row r="980" spans="1:15" x14ac:dyDescent="0.2">
      <c r="A980" t="s">
        <v>1089</v>
      </c>
      <c r="B980" s="7">
        <v>46008</v>
      </c>
      <c r="C980" t="s">
        <v>68</v>
      </c>
      <c r="D980" t="s">
        <v>30</v>
      </c>
      <c r="E980" t="s">
        <v>52</v>
      </c>
      <c r="F980" t="s">
        <v>53</v>
      </c>
      <c r="G980" t="s">
        <v>58</v>
      </c>
      <c r="H980" t="s">
        <v>59</v>
      </c>
      <c r="I980" s="3">
        <v>47142</v>
      </c>
      <c r="J980">
        <v>5</v>
      </c>
      <c r="K980" s="5">
        <v>0.1</v>
      </c>
      <c r="L980" s="3">
        <v>10016.49</v>
      </c>
      <c r="M980" t="s">
        <v>35</v>
      </c>
      <c r="N980">
        <f t="shared" si="30"/>
        <v>2025</v>
      </c>
      <c r="O980" t="str">
        <f t="shared" si="31"/>
        <v>December</v>
      </c>
    </row>
    <row r="981" spans="1:15" x14ac:dyDescent="0.2">
      <c r="A981" t="s">
        <v>1090</v>
      </c>
      <c r="B981" s="7">
        <v>45590</v>
      </c>
      <c r="C981" t="s">
        <v>68</v>
      </c>
      <c r="D981" t="s">
        <v>30</v>
      </c>
      <c r="E981" t="s">
        <v>72</v>
      </c>
      <c r="F981" t="s">
        <v>217</v>
      </c>
      <c r="G981" t="s">
        <v>18</v>
      </c>
      <c r="H981" t="s">
        <v>26</v>
      </c>
      <c r="I981" s="3">
        <v>32168</v>
      </c>
      <c r="J981">
        <v>5</v>
      </c>
      <c r="K981" s="5">
        <v>0.2</v>
      </c>
      <c r="L981" s="3">
        <v>3298.66</v>
      </c>
      <c r="M981" t="s">
        <v>40</v>
      </c>
      <c r="N981">
        <f t="shared" si="30"/>
        <v>2024</v>
      </c>
      <c r="O981" t="str">
        <f t="shared" si="31"/>
        <v>October</v>
      </c>
    </row>
    <row r="982" spans="1:15" x14ac:dyDescent="0.2">
      <c r="A982" t="s">
        <v>1091</v>
      </c>
      <c r="B982" s="7">
        <v>45685</v>
      </c>
      <c r="C982" t="s">
        <v>68</v>
      </c>
      <c r="D982" t="s">
        <v>15</v>
      </c>
      <c r="E982" t="s">
        <v>65</v>
      </c>
      <c r="F982" t="s">
        <v>222</v>
      </c>
      <c r="G982" t="s">
        <v>58</v>
      </c>
      <c r="H982" t="s">
        <v>59</v>
      </c>
      <c r="I982" s="3">
        <v>2800</v>
      </c>
      <c r="J982">
        <v>5</v>
      </c>
      <c r="K982" s="5">
        <v>0.2</v>
      </c>
      <c r="L982" s="3">
        <v>247.71</v>
      </c>
      <c r="M982" t="s">
        <v>40</v>
      </c>
      <c r="N982">
        <f t="shared" si="30"/>
        <v>2025</v>
      </c>
      <c r="O982" t="str">
        <f t="shared" si="31"/>
        <v>January</v>
      </c>
    </row>
    <row r="983" spans="1:15" x14ac:dyDescent="0.2">
      <c r="A983" t="s">
        <v>1092</v>
      </c>
      <c r="B983" s="7">
        <v>45925</v>
      </c>
      <c r="C983" t="s">
        <v>55</v>
      </c>
      <c r="D983" t="s">
        <v>23</v>
      </c>
      <c r="E983" t="s">
        <v>24</v>
      </c>
      <c r="F983" t="s">
        <v>25</v>
      </c>
      <c r="G983" t="s">
        <v>42</v>
      </c>
      <c r="H983" t="s">
        <v>98</v>
      </c>
      <c r="I983" s="3">
        <v>14560.8</v>
      </c>
      <c r="J983">
        <v>1</v>
      </c>
      <c r="K983" s="5">
        <v>0.2</v>
      </c>
      <c r="L983" s="3">
        <v>1618.71</v>
      </c>
      <c r="M983" t="s">
        <v>27</v>
      </c>
      <c r="N983">
        <f t="shared" si="30"/>
        <v>2025</v>
      </c>
      <c r="O983" t="str">
        <f t="shared" si="31"/>
        <v>September</v>
      </c>
    </row>
    <row r="984" spans="1:15" x14ac:dyDescent="0.2">
      <c r="A984" t="s">
        <v>1093</v>
      </c>
      <c r="B984" s="7">
        <v>45680</v>
      </c>
      <c r="C984" t="s">
        <v>14</v>
      </c>
      <c r="D984" t="s">
        <v>15</v>
      </c>
      <c r="E984" t="s">
        <v>46</v>
      </c>
      <c r="F984" t="s">
        <v>47</v>
      </c>
      <c r="G984" t="s">
        <v>42</v>
      </c>
      <c r="H984" t="s">
        <v>119</v>
      </c>
      <c r="I984" s="3">
        <v>15306.8</v>
      </c>
      <c r="J984">
        <v>8</v>
      </c>
      <c r="K984" s="5">
        <v>0.15</v>
      </c>
      <c r="L984" s="3">
        <v>1187.46</v>
      </c>
      <c r="M984" t="s">
        <v>20</v>
      </c>
      <c r="N984">
        <f t="shared" si="30"/>
        <v>2025</v>
      </c>
      <c r="O984" t="str">
        <f t="shared" si="31"/>
        <v>January</v>
      </c>
    </row>
    <row r="985" spans="1:15" x14ac:dyDescent="0.2">
      <c r="A985" t="s">
        <v>1094</v>
      </c>
      <c r="B985" s="7">
        <v>45875</v>
      </c>
      <c r="C985" t="s">
        <v>14</v>
      </c>
      <c r="D985" t="s">
        <v>30</v>
      </c>
      <c r="E985" t="s">
        <v>31</v>
      </c>
      <c r="F985" t="s">
        <v>32</v>
      </c>
      <c r="G985" t="s">
        <v>42</v>
      </c>
      <c r="H985" t="s">
        <v>98</v>
      </c>
      <c r="I985" s="3">
        <v>12738.6</v>
      </c>
      <c r="J985">
        <v>3</v>
      </c>
      <c r="K985" s="5">
        <v>0.1</v>
      </c>
      <c r="L985" s="3">
        <v>1971.4</v>
      </c>
      <c r="M985" t="s">
        <v>35</v>
      </c>
      <c r="N985">
        <f t="shared" si="30"/>
        <v>2025</v>
      </c>
      <c r="O985" t="str">
        <f t="shared" si="31"/>
        <v>August</v>
      </c>
    </row>
    <row r="986" spans="1:15" x14ac:dyDescent="0.2">
      <c r="A986" t="s">
        <v>1095</v>
      </c>
      <c r="B986" s="7">
        <v>45839</v>
      </c>
      <c r="C986" t="s">
        <v>51</v>
      </c>
      <c r="D986" t="s">
        <v>23</v>
      </c>
      <c r="E986" t="s">
        <v>24</v>
      </c>
      <c r="F986" t="s">
        <v>86</v>
      </c>
      <c r="G986" t="s">
        <v>42</v>
      </c>
      <c r="H986" t="s">
        <v>102</v>
      </c>
      <c r="I986" s="3">
        <v>127184</v>
      </c>
      <c r="J986">
        <v>2</v>
      </c>
      <c r="K986" s="5">
        <v>0</v>
      </c>
      <c r="L986" s="3">
        <v>17080.14</v>
      </c>
      <c r="M986" t="s">
        <v>20</v>
      </c>
      <c r="N986">
        <f t="shared" si="30"/>
        <v>2025</v>
      </c>
      <c r="O986" t="str">
        <f t="shared" si="31"/>
        <v>July</v>
      </c>
    </row>
    <row r="987" spans="1:15" x14ac:dyDescent="0.2">
      <c r="A987" t="s">
        <v>1096</v>
      </c>
      <c r="B987" s="7">
        <v>45915</v>
      </c>
      <c r="C987" t="s">
        <v>68</v>
      </c>
      <c r="D987" t="s">
        <v>23</v>
      </c>
      <c r="E987" t="s">
        <v>38</v>
      </c>
      <c r="F987" t="s">
        <v>91</v>
      </c>
      <c r="G987" t="s">
        <v>33</v>
      </c>
      <c r="H987" t="s">
        <v>48</v>
      </c>
      <c r="I987" s="3">
        <v>118320</v>
      </c>
      <c r="J987">
        <v>3</v>
      </c>
      <c r="K987" s="5">
        <v>0.15</v>
      </c>
      <c r="L987" s="3">
        <v>9227.32</v>
      </c>
      <c r="M987" t="s">
        <v>35</v>
      </c>
      <c r="N987">
        <f t="shared" si="30"/>
        <v>2025</v>
      </c>
      <c r="O987" t="str">
        <f t="shared" si="31"/>
        <v>September</v>
      </c>
    </row>
    <row r="988" spans="1:15" x14ac:dyDescent="0.2">
      <c r="A988" t="s">
        <v>1097</v>
      </c>
      <c r="B988" s="7">
        <v>45887</v>
      </c>
      <c r="C988" t="s">
        <v>29</v>
      </c>
      <c r="D988" t="s">
        <v>30</v>
      </c>
      <c r="E988" t="s">
        <v>52</v>
      </c>
      <c r="F988" t="s">
        <v>53</v>
      </c>
      <c r="G988" t="s">
        <v>33</v>
      </c>
      <c r="H988" t="s">
        <v>128</v>
      </c>
      <c r="I988" s="3">
        <v>36128.5</v>
      </c>
      <c r="J988">
        <v>5</v>
      </c>
      <c r="K988" s="5">
        <v>0.05</v>
      </c>
      <c r="L988" s="3">
        <v>6670.6</v>
      </c>
      <c r="M988" t="s">
        <v>49</v>
      </c>
      <c r="N988">
        <f t="shared" si="30"/>
        <v>2025</v>
      </c>
      <c r="O988" t="str">
        <f t="shared" si="31"/>
        <v>August</v>
      </c>
    </row>
    <row r="989" spans="1:15" x14ac:dyDescent="0.2">
      <c r="A989" t="s">
        <v>1098</v>
      </c>
      <c r="B989" s="7">
        <v>45494</v>
      </c>
      <c r="C989" t="s">
        <v>37</v>
      </c>
      <c r="D989" t="s">
        <v>23</v>
      </c>
      <c r="E989" t="s">
        <v>172</v>
      </c>
      <c r="F989" t="s">
        <v>173</v>
      </c>
      <c r="G989" t="s">
        <v>18</v>
      </c>
      <c r="H989" t="s">
        <v>19</v>
      </c>
      <c r="I989" s="3">
        <v>23922.400000000001</v>
      </c>
      <c r="J989">
        <v>2</v>
      </c>
      <c r="K989" s="5">
        <v>0.15</v>
      </c>
      <c r="L989" s="3">
        <v>1415.66</v>
      </c>
      <c r="M989" t="s">
        <v>35</v>
      </c>
      <c r="N989">
        <f t="shared" si="30"/>
        <v>2024</v>
      </c>
      <c r="O989" t="str">
        <f t="shared" si="31"/>
        <v>July</v>
      </c>
    </row>
    <row r="990" spans="1:15" x14ac:dyDescent="0.2">
      <c r="A990" t="s">
        <v>1099</v>
      </c>
      <c r="B990" s="7">
        <v>45491</v>
      </c>
      <c r="C990" t="s">
        <v>90</v>
      </c>
      <c r="D990" t="s">
        <v>15</v>
      </c>
      <c r="E990" t="s">
        <v>46</v>
      </c>
      <c r="F990" t="s">
        <v>116</v>
      </c>
      <c r="G990" t="s">
        <v>58</v>
      </c>
      <c r="H990" t="s">
        <v>84</v>
      </c>
      <c r="I990" s="3">
        <v>472.6</v>
      </c>
      <c r="J990">
        <v>1</v>
      </c>
      <c r="K990" s="5">
        <v>0.15</v>
      </c>
      <c r="L990" s="3">
        <v>93.56</v>
      </c>
      <c r="M990" t="s">
        <v>35</v>
      </c>
      <c r="N990">
        <f t="shared" si="30"/>
        <v>2024</v>
      </c>
      <c r="O990" t="str">
        <f t="shared" si="31"/>
        <v>July</v>
      </c>
    </row>
    <row r="991" spans="1:15" x14ac:dyDescent="0.2">
      <c r="A991" t="s">
        <v>1100</v>
      </c>
      <c r="B991" s="7">
        <v>45582</v>
      </c>
      <c r="C991" t="s">
        <v>68</v>
      </c>
      <c r="D991" t="s">
        <v>30</v>
      </c>
      <c r="E991" t="s">
        <v>52</v>
      </c>
      <c r="F991" t="s">
        <v>118</v>
      </c>
      <c r="G991" t="s">
        <v>42</v>
      </c>
      <c r="H991" t="s">
        <v>43</v>
      </c>
      <c r="I991" s="3">
        <v>26336</v>
      </c>
      <c r="J991">
        <v>5</v>
      </c>
      <c r="K991" s="5">
        <v>0.2</v>
      </c>
      <c r="L991" s="3">
        <v>3335.61</v>
      </c>
      <c r="M991" t="s">
        <v>27</v>
      </c>
      <c r="N991">
        <f t="shared" si="30"/>
        <v>2024</v>
      </c>
      <c r="O991" t="str">
        <f t="shared" si="31"/>
        <v>October</v>
      </c>
    </row>
    <row r="992" spans="1:15" x14ac:dyDescent="0.2">
      <c r="A992" t="s">
        <v>1101</v>
      </c>
      <c r="B992" s="7">
        <v>45618</v>
      </c>
      <c r="C992" t="s">
        <v>51</v>
      </c>
      <c r="D992" t="s">
        <v>15</v>
      </c>
      <c r="E992" t="s">
        <v>46</v>
      </c>
      <c r="F992" t="s">
        <v>116</v>
      </c>
      <c r="G992" t="s">
        <v>42</v>
      </c>
      <c r="H992" t="s">
        <v>119</v>
      </c>
      <c r="I992" s="3">
        <v>2641</v>
      </c>
      <c r="J992">
        <v>5</v>
      </c>
      <c r="K992" s="5">
        <v>0.05</v>
      </c>
      <c r="L992" s="3">
        <v>435.81</v>
      </c>
      <c r="M992" t="s">
        <v>49</v>
      </c>
      <c r="N992">
        <f t="shared" si="30"/>
        <v>2024</v>
      </c>
      <c r="O992" t="str">
        <f t="shared" si="31"/>
        <v>November</v>
      </c>
    </row>
    <row r="993" spans="1:15" x14ac:dyDescent="0.2">
      <c r="A993" t="s">
        <v>1102</v>
      </c>
      <c r="B993" s="7">
        <v>45490</v>
      </c>
      <c r="C993" t="s">
        <v>37</v>
      </c>
      <c r="D993" t="s">
        <v>30</v>
      </c>
      <c r="E993" t="s">
        <v>31</v>
      </c>
      <c r="F993" t="s">
        <v>97</v>
      </c>
      <c r="G993" t="s">
        <v>33</v>
      </c>
      <c r="H993" t="s">
        <v>128</v>
      </c>
      <c r="I993" s="3">
        <v>61288</v>
      </c>
      <c r="J993">
        <v>5</v>
      </c>
      <c r="K993" s="5">
        <v>0.2</v>
      </c>
      <c r="L993" s="3">
        <v>11921.22</v>
      </c>
      <c r="M993" t="s">
        <v>40</v>
      </c>
      <c r="N993">
        <f t="shared" si="30"/>
        <v>2024</v>
      </c>
      <c r="O993" t="str">
        <f t="shared" si="31"/>
        <v>July</v>
      </c>
    </row>
    <row r="994" spans="1:15" x14ac:dyDescent="0.2">
      <c r="A994" t="s">
        <v>1103</v>
      </c>
      <c r="B994" s="7">
        <v>45623</v>
      </c>
      <c r="C994" t="s">
        <v>55</v>
      </c>
      <c r="D994" t="s">
        <v>23</v>
      </c>
      <c r="E994" t="s">
        <v>79</v>
      </c>
      <c r="F994" t="s">
        <v>93</v>
      </c>
      <c r="G994" t="s">
        <v>42</v>
      </c>
      <c r="H994" t="s">
        <v>119</v>
      </c>
      <c r="I994" s="3">
        <v>50841.599999999999</v>
      </c>
      <c r="J994">
        <v>8</v>
      </c>
      <c r="K994" s="5">
        <v>0.2</v>
      </c>
      <c r="L994" s="3">
        <v>8357.2099999999991</v>
      </c>
      <c r="M994" t="s">
        <v>40</v>
      </c>
      <c r="N994">
        <f t="shared" si="30"/>
        <v>2024</v>
      </c>
      <c r="O994" t="str">
        <f t="shared" si="31"/>
        <v>November</v>
      </c>
    </row>
    <row r="995" spans="1:15" x14ac:dyDescent="0.2">
      <c r="A995" t="s">
        <v>1104</v>
      </c>
      <c r="B995" s="7">
        <v>45775</v>
      </c>
      <c r="C995" t="s">
        <v>68</v>
      </c>
      <c r="D995" t="s">
        <v>30</v>
      </c>
      <c r="E995" t="s">
        <v>31</v>
      </c>
      <c r="F995" t="s">
        <v>97</v>
      </c>
      <c r="G995" t="s">
        <v>33</v>
      </c>
      <c r="H995" t="s">
        <v>48</v>
      </c>
      <c r="I995" s="3">
        <v>109903.6</v>
      </c>
      <c r="J995">
        <v>8</v>
      </c>
      <c r="K995" s="5">
        <v>0.05</v>
      </c>
      <c r="L995" s="3">
        <v>27923.07</v>
      </c>
      <c r="M995" t="s">
        <v>27</v>
      </c>
      <c r="N995">
        <f t="shared" si="30"/>
        <v>2025</v>
      </c>
      <c r="O995" t="str">
        <f t="shared" si="31"/>
        <v>April</v>
      </c>
    </row>
    <row r="996" spans="1:15" x14ac:dyDescent="0.2">
      <c r="A996" t="s">
        <v>1105</v>
      </c>
      <c r="B996" s="7">
        <v>45719</v>
      </c>
      <c r="C996" t="s">
        <v>14</v>
      </c>
      <c r="D996" t="s">
        <v>23</v>
      </c>
      <c r="E996" t="s">
        <v>79</v>
      </c>
      <c r="F996" t="s">
        <v>93</v>
      </c>
      <c r="G996" t="s">
        <v>42</v>
      </c>
      <c r="H996" t="s">
        <v>119</v>
      </c>
      <c r="I996" s="3">
        <v>147225.60000000001</v>
      </c>
      <c r="J996">
        <v>6</v>
      </c>
      <c r="K996" s="5">
        <v>0.2</v>
      </c>
      <c r="L996" s="3">
        <v>16004.67</v>
      </c>
      <c r="M996" t="s">
        <v>49</v>
      </c>
      <c r="N996">
        <f t="shared" si="30"/>
        <v>2025</v>
      </c>
      <c r="O996" t="str">
        <f t="shared" si="31"/>
        <v>March</v>
      </c>
    </row>
    <row r="997" spans="1:15" x14ac:dyDescent="0.2">
      <c r="A997" t="s">
        <v>1106</v>
      </c>
      <c r="B997" s="7">
        <v>45674</v>
      </c>
      <c r="C997" t="s">
        <v>14</v>
      </c>
      <c r="D997" t="s">
        <v>23</v>
      </c>
      <c r="E997" t="s">
        <v>38</v>
      </c>
      <c r="F997" t="s">
        <v>91</v>
      </c>
      <c r="G997" t="s">
        <v>42</v>
      </c>
      <c r="H997" t="s">
        <v>98</v>
      </c>
      <c r="I997" s="3">
        <v>11142</v>
      </c>
      <c r="J997">
        <v>5</v>
      </c>
      <c r="K997" s="5">
        <v>0.1</v>
      </c>
      <c r="L997" s="3">
        <v>1269.74</v>
      </c>
      <c r="M997" t="s">
        <v>27</v>
      </c>
      <c r="N997">
        <f t="shared" si="30"/>
        <v>2025</v>
      </c>
      <c r="O997" t="str">
        <f t="shared" si="31"/>
        <v>January</v>
      </c>
    </row>
    <row r="998" spans="1:15" x14ac:dyDescent="0.2">
      <c r="A998" t="s">
        <v>1107</v>
      </c>
      <c r="B998" s="7">
        <v>45625</v>
      </c>
      <c r="C998" t="s">
        <v>29</v>
      </c>
      <c r="D998" t="s">
        <v>30</v>
      </c>
      <c r="E998" t="s">
        <v>122</v>
      </c>
      <c r="F998" t="s">
        <v>131</v>
      </c>
      <c r="G998" t="s">
        <v>42</v>
      </c>
      <c r="H998" t="s">
        <v>98</v>
      </c>
      <c r="I998" s="3">
        <v>78216</v>
      </c>
      <c r="J998">
        <v>8</v>
      </c>
      <c r="K998" s="5">
        <v>0</v>
      </c>
      <c r="L998" s="3">
        <v>10060.73</v>
      </c>
      <c r="M998" t="s">
        <v>35</v>
      </c>
      <c r="N998">
        <f t="shared" si="30"/>
        <v>2024</v>
      </c>
      <c r="O998" t="str">
        <f t="shared" si="31"/>
        <v>November</v>
      </c>
    </row>
    <row r="999" spans="1:15" x14ac:dyDescent="0.2">
      <c r="A999" t="s">
        <v>1108</v>
      </c>
      <c r="B999" s="7">
        <v>45642</v>
      </c>
      <c r="C999" t="s">
        <v>68</v>
      </c>
      <c r="D999" t="s">
        <v>30</v>
      </c>
      <c r="E999" t="s">
        <v>52</v>
      </c>
      <c r="F999" t="s">
        <v>53</v>
      </c>
      <c r="G999" t="s">
        <v>58</v>
      </c>
      <c r="H999" t="s">
        <v>59</v>
      </c>
      <c r="I999" s="3">
        <v>65440</v>
      </c>
      <c r="J999">
        <v>5</v>
      </c>
      <c r="K999" s="5">
        <v>0</v>
      </c>
      <c r="L999" s="3">
        <v>5969.63</v>
      </c>
      <c r="M999" t="s">
        <v>35</v>
      </c>
      <c r="N999">
        <f t="shared" si="30"/>
        <v>2024</v>
      </c>
      <c r="O999" t="str">
        <f t="shared" si="31"/>
        <v>December</v>
      </c>
    </row>
    <row r="1000" spans="1:15" x14ac:dyDescent="0.2">
      <c r="A1000" t="s">
        <v>1109</v>
      </c>
      <c r="B1000" s="7">
        <v>45446</v>
      </c>
      <c r="C1000" t="s">
        <v>90</v>
      </c>
      <c r="D1000" t="s">
        <v>30</v>
      </c>
      <c r="E1000" t="s">
        <v>122</v>
      </c>
      <c r="F1000" t="s">
        <v>160</v>
      </c>
      <c r="G1000" t="s">
        <v>42</v>
      </c>
      <c r="H1000" t="s">
        <v>102</v>
      </c>
      <c r="I1000" s="3">
        <v>8221.2000000000007</v>
      </c>
      <c r="J1000">
        <v>3</v>
      </c>
      <c r="K1000" s="5">
        <v>0.15</v>
      </c>
      <c r="L1000" s="3">
        <v>1704.77</v>
      </c>
      <c r="M1000" t="s">
        <v>27</v>
      </c>
      <c r="N1000">
        <f t="shared" si="30"/>
        <v>2024</v>
      </c>
      <c r="O1000" t="str">
        <f t="shared" si="31"/>
        <v>June</v>
      </c>
    </row>
    <row r="1001" spans="1:15" x14ac:dyDescent="0.2">
      <c r="A1001" t="s">
        <v>1110</v>
      </c>
      <c r="B1001" s="7">
        <v>45998</v>
      </c>
      <c r="C1001" t="s">
        <v>14</v>
      </c>
      <c r="D1001" t="s">
        <v>15</v>
      </c>
      <c r="E1001" t="s">
        <v>46</v>
      </c>
      <c r="F1001" t="s">
        <v>176</v>
      </c>
      <c r="G1001" t="s">
        <v>18</v>
      </c>
      <c r="H1001" t="s">
        <v>63</v>
      </c>
      <c r="I1001" s="3">
        <v>11424</v>
      </c>
      <c r="J1001">
        <v>6</v>
      </c>
      <c r="K1001" s="5">
        <v>0.2</v>
      </c>
      <c r="L1001" s="3">
        <v>2210.11</v>
      </c>
      <c r="M1001" t="s">
        <v>40</v>
      </c>
      <c r="N1001">
        <f t="shared" si="30"/>
        <v>2025</v>
      </c>
      <c r="O1001" t="str">
        <f t="shared" si="31"/>
        <v>December</v>
      </c>
    </row>
    <row r="1002" spans="1:15" x14ac:dyDescent="0.2">
      <c r="A1002" t="s">
        <v>1111</v>
      </c>
      <c r="B1002" s="7">
        <v>45633</v>
      </c>
      <c r="C1002" t="s">
        <v>76</v>
      </c>
      <c r="D1002" t="s">
        <v>23</v>
      </c>
      <c r="E1002" t="s">
        <v>79</v>
      </c>
      <c r="F1002" t="s">
        <v>93</v>
      </c>
      <c r="G1002" t="s">
        <v>42</v>
      </c>
      <c r="H1002" t="s">
        <v>43</v>
      </c>
      <c r="I1002" s="3">
        <v>50414.6</v>
      </c>
      <c r="J1002">
        <v>4</v>
      </c>
      <c r="K1002" s="5">
        <v>0.05</v>
      </c>
      <c r="L1002" s="3">
        <v>8049.23</v>
      </c>
      <c r="M1002" t="s">
        <v>27</v>
      </c>
      <c r="N1002">
        <f t="shared" si="30"/>
        <v>2024</v>
      </c>
      <c r="O1002" t="str">
        <f t="shared" si="31"/>
        <v>December</v>
      </c>
    </row>
    <row r="1003" spans="1:15" x14ac:dyDescent="0.2">
      <c r="A1003" t="s">
        <v>1112</v>
      </c>
      <c r="B1003" s="7">
        <v>45353</v>
      </c>
      <c r="C1003" t="s">
        <v>51</v>
      </c>
      <c r="D1003" t="s">
        <v>30</v>
      </c>
      <c r="E1003" t="s">
        <v>72</v>
      </c>
      <c r="F1003" t="s">
        <v>217</v>
      </c>
      <c r="G1003" t="s">
        <v>18</v>
      </c>
      <c r="H1003" t="s">
        <v>26</v>
      </c>
      <c r="I1003" s="3">
        <v>96502</v>
      </c>
      <c r="J1003">
        <v>7</v>
      </c>
      <c r="K1003" s="5">
        <v>0</v>
      </c>
      <c r="L1003" s="3">
        <v>23771.81</v>
      </c>
      <c r="M1003" t="s">
        <v>27</v>
      </c>
      <c r="N1003">
        <f t="shared" si="30"/>
        <v>2024</v>
      </c>
      <c r="O1003" t="str">
        <f t="shared" si="31"/>
        <v>March</v>
      </c>
    </row>
    <row r="1004" spans="1:15" x14ac:dyDescent="0.2">
      <c r="A1004" t="s">
        <v>1113</v>
      </c>
      <c r="B1004" s="7">
        <v>45360</v>
      </c>
      <c r="C1004" t="s">
        <v>37</v>
      </c>
      <c r="D1004" t="s">
        <v>23</v>
      </c>
      <c r="E1004" t="s">
        <v>172</v>
      </c>
      <c r="F1004" t="s">
        <v>173</v>
      </c>
      <c r="G1004" t="s">
        <v>58</v>
      </c>
      <c r="H1004" t="s">
        <v>95</v>
      </c>
      <c r="I1004" s="3">
        <v>254313.60000000001</v>
      </c>
      <c r="J1004">
        <v>6</v>
      </c>
      <c r="K1004" s="5">
        <v>0.2</v>
      </c>
      <c r="L1004" s="3">
        <v>24604.97</v>
      </c>
      <c r="M1004" t="s">
        <v>35</v>
      </c>
      <c r="N1004">
        <f t="shared" si="30"/>
        <v>2024</v>
      </c>
      <c r="O1004" t="str">
        <f t="shared" si="31"/>
        <v>March</v>
      </c>
    </row>
    <row r="1005" spans="1:15" x14ac:dyDescent="0.2">
      <c r="A1005" t="s">
        <v>1114</v>
      </c>
      <c r="B1005" s="7">
        <v>45733</v>
      </c>
      <c r="C1005" t="s">
        <v>68</v>
      </c>
      <c r="D1005" t="s">
        <v>23</v>
      </c>
      <c r="E1005" t="s">
        <v>172</v>
      </c>
      <c r="F1005" t="s">
        <v>173</v>
      </c>
      <c r="G1005" t="s">
        <v>18</v>
      </c>
      <c r="H1005" t="s">
        <v>26</v>
      </c>
      <c r="I1005" s="3">
        <v>77624</v>
      </c>
      <c r="J1005">
        <v>2</v>
      </c>
      <c r="K1005" s="5">
        <v>0</v>
      </c>
      <c r="L1005" s="3">
        <v>18119.23</v>
      </c>
      <c r="M1005" t="s">
        <v>49</v>
      </c>
      <c r="N1005">
        <f t="shared" si="30"/>
        <v>2025</v>
      </c>
      <c r="O1005" t="str">
        <f t="shared" si="31"/>
        <v>March</v>
      </c>
    </row>
    <row r="1006" spans="1:15" x14ac:dyDescent="0.2">
      <c r="A1006" t="s">
        <v>1115</v>
      </c>
      <c r="B1006" s="7">
        <v>45298</v>
      </c>
      <c r="C1006" t="s">
        <v>90</v>
      </c>
      <c r="D1006" t="s">
        <v>30</v>
      </c>
      <c r="E1006" t="s">
        <v>31</v>
      </c>
      <c r="F1006" t="s">
        <v>32</v>
      </c>
      <c r="G1006" t="s">
        <v>42</v>
      </c>
      <c r="H1006" t="s">
        <v>102</v>
      </c>
      <c r="I1006" s="3">
        <v>76336.800000000003</v>
      </c>
      <c r="J1006">
        <v>6</v>
      </c>
      <c r="K1006" s="5">
        <v>0.15</v>
      </c>
      <c r="L1006" s="3">
        <v>12019.04</v>
      </c>
      <c r="M1006" t="s">
        <v>49</v>
      </c>
      <c r="N1006">
        <f t="shared" si="30"/>
        <v>2024</v>
      </c>
      <c r="O1006" t="str">
        <f t="shared" si="31"/>
        <v>January</v>
      </c>
    </row>
    <row r="1007" spans="1:15" x14ac:dyDescent="0.2">
      <c r="A1007" t="s">
        <v>1116</v>
      </c>
      <c r="B1007" s="7">
        <v>45961</v>
      </c>
      <c r="C1007" t="s">
        <v>76</v>
      </c>
      <c r="D1007" t="s">
        <v>23</v>
      </c>
      <c r="E1007" t="s">
        <v>82</v>
      </c>
      <c r="F1007" t="s">
        <v>83</v>
      </c>
      <c r="G1007" t="s">
        <v>33</v>
      </c>
      <c r="H1007" t="s">
        <v>34</v>
      </c>
      <c r="I1007" s="3">
        <v>49042.8</v>
      </c>
      <c r="J1007">
        <v>3</v>
      </c>
      <c r="K1007" s="5">
        <v>0.1</v>
      </c>
      <c r="L1007" s="3">
        <v>7919.08</v>
      </c>
      <c r="M1007" t="s">
        <v>35</v>
      </c>
      <c r="N1007">
        <f t="shared" si="30"/>
        <v>2025</v>
      </c>
      <c r="O1007" t="str">
        <f t="shared" si="31"/>
        <v>October</v>
      </c>
    </row>
    <row r="1008" spans="1:15" x14ac:dyDescent="0.2">
      <c r="A1008" t="s">
        <v>1117</v>
      </c>
      <c r="B1008" s="7">
        <v>45332</v>
      </c>
      <c r="C1008" t="s">
        <v>55</v>
      </c>
      <c r="D1008" t="s">
        <v>30</v>
      </c>
      <c r="E1008" t="s">
        <v>72</v>
      </c>
      <c r="F1008" t="s">
        <v>217</v>
      </c>
      <c r="G1008" t="s">
        <v>33</v>
      </c>
      <c r="H1008" t="s">
        <v>48</v>
      </c>
      <c r="I1008" s="3">
        <v>27000</v>
      </c>
      <c r="J1008">
        <v>4</v>
      </c>
      <c r="K1008" s="5">
        <v>0</v>
      </c>
      <c r="L1008" s="3">
        <v>5040.4799999999996</v>
      </c>
      <c r="M1008" t="s">
        <v>35</v>
      </c>
      <c r="N1008">
        <f t="shared" si="30"/>
        <v>2024</v>
      </c>
      <c r="O1008" t="str">
        <f t="shared" si="31"/>
        <v>February</v>
      </c>
    </row>
    <row r="1009" spans="1:15" x14ac:dyDescent="0.2">
      <c r="A1009" t="s">
        <v>1118</v>
      </c>
      <c r="B1009" s="7">
        <v>45530</v>
      </c>
      <c r="C1009" t="s">
        <v>76</v>
      </c>
      <c r="D1009" t="s">
        <v>30</v>
      </c>
      <c r="E1009" t="s">
        <v>52</v>
      </c>
      <c r="F1009" t="s">
        <v>53</v>
      </c>
      <c r="G1009" t="s">
        <v>42</v>
      </c>
      <c r="H1009" t="s">
        <v>119</v>
      </c>
      <c r="I1009" s="3">
        <v>36468.400000000001</v>
      </c>
      <c r="J1009">
        <v>4</v>
      </c>
      <c r="K1009" s="5">
        <v>0.15</v>
      </c>
      <c r="L1009" s="3">
        <v>8777.9699999999993</v>
      </c>
      <c r="M1009" t="s">
        <v>27</v>
      </c>
      <c r="N1009">
        <f t="shared" si="30"/>
        <v>2024</v>
      </c>
      <c r="O1009" t="str">
        <f t="shared" si="31"/>
        <v>August</v>
      </c>
    </row>
    <row r="1010" spans="1:15" x14ac:dyDescent="0.2">
      <c r="A1010" t="s">
        <v>1119</v>
      </c>
      <c r="B1010" s="7">
        <v>45700</v>
      </c>
      <c r="C1010" t="s">
        <v>76</v>
      </c>
      <c r="D1010" t="s">
        <v>23</v>
      </c>
      <c r="E1010" t="s">
        <v>24</v>
      </c>
      <c r="F1010" t="s">
        <v>86</v>
      </c>
      <c r="G1010" t="s">
        <v>58</v>
      </c>
      <c r="H1010" t="s">
        <v>95</v>
      </c>
      <c r="I1010" s="3">
        <v>30294</v>
      </c>
      <c r="J1010">
        <v>1</v>
      </c>
      <c r="K1010" s="5">
        <v>0</v>
      </c>
      <c r="L1010" s="3">
        <v>5130.67</v>
      </c>
      <c r="M1010" t="s">
        <v>40</v>
      </c>
      <c r="N1010">
        <f t="shared" si="30"/>
        <v>2025</v>
      </c>
      <c r="O1010" t="str">
        <f t="shared" si="31"/>
        <v>February</v>
      </c>
    </row>
    <row r="1011" spans="1:15" x14ac:dyDescent="0.2">
      <c r="A1011" t="s">
        <v>1120</v>
      </c>
      <c r="B1011" s="7">
        <v>45658</v>
      </c>
      <c r="C1011" t="s">
        <v>45</v>
      </c>
      <c r="D1011" t="s">
        <v>30</v>
      </c>
      <c r="E1011" t="s">
        <v>72</v>
      </c>
      <c r="F1011" t="s">
        <v>217</v>
      </c>
      <c r="G1011" t="s">
        <v>18</v>
      </c>
      <c r="H1011" t="s">
        <v>70</v>
      </c>
      <c r="I1011" s="3">
        <v>13037.3</v>
      </c>
      <c r="J1011">
        <v>2</v>
      </c>
      <c r="K1011" s="5">
        <v>0.15</v>
      </c>
      <c r="L1011" s="3">
        <v>2485.2800000000002</v>
      </c>
      <c r="M1011" t="s">
        <v>49</v>
      </c>
      <c r="N1011">
        <f t="shared" si="30"/>
        <v>2025</v>
      </c>
      <c r="O1011" t="str">
        <f t="shared" si="31"/>
        <v>January</v>
      </c>
    </row>
    <row r="1012" spans="1:15" x14ac:dyDescent="0.2">
      <c r="A1012" t="s">
        <v>1121</v>
      </c>
      <c r="B1012" s="7">
        <v>45722</v>
      </c>
      <c r="C1012" t="s">
        <v>22</v>
      </c>
      <c r="D1012" t="s">
        <v>23</v>
      </c>
      <c r="E1012" t="s">
        <v>24</v>
      </c>
      <c r="F1012" t="s">
        <v>86</v>
      </c>
      <c r="G1012" t="s">
        <v>18</v>
      </c>
      <c r="H1012" t="s">
        <v>19</v>
      </c>
      <c r="I1012" s="3">
        <v>172700</v>
      </c>
      <c r="J1012">
        <v>5</v>
      </c>
      <c r="K1012" s="5">
        <v>0</v>
      </c>
      <c r="L1012" s="3">
        <v>14066.61</v>
      </c>
      <c r="M1012" t="s">
        <v>20</v>
      </c>
      <c r="N1012">
        <f t="shared" si="30"/>
        <v>2025</v>
      </c>
      <c r="O1012" t="str">
        <f t="shared" si="31"/>
        <v>March</v>
      </c>
    </row>
    <row r="1013" spans="1:15" x14ac:dyDescent="0.2">
      <c r="A1013" t="s">
        <v>1122</v>
      </c>
      <c r="B1013" s="7">
        <v>45573</v>
      </c>
      <c r="C1013" t="s">
        <v>45</v>
      </c>
      <c r="D1013" t="s">
        <v>30</v>
      </c>
      <c r="E1013" t="s">
        <v>104</v>
      </c>
      <c r="F1013" t="s">
        <v>137</v>
      </c>
      <c r="G1013" t="s">
        <v>42</v>
      </c>
      <c r="H1013" t="s">
        <v>102</v>
      </c>
      <c r="I1013" s="3">
        <v>15159.75</v>
      </c>
      <c r="J1013">
        <v>5</v>
      </c>
      <c r="K1013" s="5">
        <v>0.15</v>
      </c>
      <c r="L1013" s="3">
        <v>692.35</v>
      </c>
      <c r="M1013" t="s">
        <v>20</v>
      </c>
      <c r="N1013">
        <f t="shared" si="30"/>
        <v>2024</v>
      </c>
      <c r="O1013" t="str">
        <f t="shared" si="31"/>
        <v>October</v>
      </c>
    </row>
    <row r="1014" spans="1:15" x14ac:dyDescent="0.2">
      <c r="A1014" t="s">
        <v>1123</v>
      </c>
      <c r="B1014" s="7">
        <v>45506</v>
      </c>
      <c r="C1014" t="s">
        <v>68</v>
      </c>
      <c r="D1014" t="s">
        <v>23</v>
      </c>
      <c r="E1014" t="s">
        <v>24</v>
      </c>
      <c r="F1014" t="s">
        <v>77</v>
      </c>
      <c r="G1014" t="s">
        <v>33</v>
      </c>
      <c r="H1014" t="s">
        <v>128</v>
      </c>
      <c r="I1014" s="3">
        <v>31167</v>
      </c>
      <c r="J1014">
        <v>3</v>
      </c>
      <c r="K1014" s="5">
        <v>0</v>
      </c>
      <c r="L1014" s="3">
        <v>6209.74</v>
      </c>
      <c r="M1014" t="s">
        <v>27</v>
      </c>
      <c r="N1014">
        <f t="shared" si="30"/>
        <v>2024</v>
      </c>
      <c r="O1014" t="str">
        <f t="shared" si="31"/>
        <v>August</v>
      </c>
    </row>
    <row r="1015" spans="1:15" x14ac:dyDescent="0.2">
      <c r="A1015" t="s">
        <v>1124</v>
      </c>
      <c r="B1015" s="7">
        <v>45404</v>
      </c>
      <c r="C1015" t="s">
        <v>55</v>
      </c>
      <c r="D1015" t="s">
        <v>15</v>
      </c>
      <c r="E1015" t="s">
        <v>61</v>
      </c>
      <c r="F1015" t="s">
        <v>111</v>
      </c>
      <c r="G1015" t="s">
        <v>33</v>
      </c>
      <c r="H1015" t="s">
        <v>109</v>
      </c>
      <c r="I1015" s="3">
        <v>2052</v>
      </c>
      <c r="J1015">
        <v>3</v>
      </c>
      <c r="K1015" s="5">
        <v>0.05</v>
      </c>
      <c r="L1015" s="3">
        <v>288.33</v>
      </c>
      <c r="M1015" t="s">
        <v>20</v>
      </c>
      <c r="N1015">
        <f t="shared" si="30"/>
        <v>2024</v>
      </c>
      <c r="O1015" t="str">
        <f t="shared" si="31"/>
        <v>April</v>
      </c>
    </row>
    <row r="1016" spans="1:15" x14ac:dyDescent="0.2">
      <c r="A1016" t="s">
        <v>1125</v>
      </c>
      <c r="B1016" s="7">
        <v>45631</v>
      </c>
      <c r="C1016" t="s">
        <v>14</v>
      </c>
      <c r="D1016" t="s">
        <v>30</v>
      </c>
      <c r="E1016" t="s">
        <v>31</v>
      </c>
      <c r="F1016" t="s">
        <v>188</v>
      </c>
      <c r="G1016" t="s">
        <v>42</v>
      </c>
      <c r="H1016" t="s">
        <v>43</v>
      </c>
      <c r="I1016" s="3">
        <v>56934</v>
      </c>
      <c r="J1016">
        <v>6</v>
      </c>
      <c r="K1016" s="5">
        <v>0</v>
      </c>
      <c r="L1016" s="3">
        <v>13473.65</v>
      </c>
      <c r="M1016" t="s">
        <v>49</v>
      </c>
      <c r="N1016">
        <f t="shared" si="30"/>
        <v>2024</v>
      </c>
      <c r="O1016" t="str">
        <f t="shared" si="31"/>
        <v>December</v>
      </c>
    </row>
    <row r="1017" spans="1:15" x14ac:dyDescent="0.2">
      <c r="A1017" t="s">
        <v>1126</v>
      </c>
      <c r="B1017" s="7">
        <v>45520</v>
      </c>
      <c r="C1017" t="s">
        <v>37</v>
      </c>
      <c r="D1017" t="s">
        <v>23</v>
      </c>
      <c r="E1017" t="s">
        <v>24</v>
      </c>
      <c r="F1017" t="s">
        <v>25</v>
      </c>
      <c r="G1017" t="s">
        <v>58</v>
      </c>
      <c r="H1017" t="s">
        <v>95</v>
      </c>
      <c r="I1017" s="3">
        <v>358197</v>
      </c>
      <c r="J1017">
        <v>7</v>
      </c>
      <c r="K1017" s="5">
        <v>0</v>
      </c>
      <c r="L1017" s="3">
        <v>29725.94</v>
      </c>
      <c r="M1017" t="s">
        <v>49</v>
      </c>
      <c r="N1017">
        <f t="shared" si="30"/>
        <v>2024</v>
      </c>
      <c r="O1017" t="str">
        <f t="shared" si="31"/>
        <v>August</v>
      </c>
    </row>
    <row r="1018" spans="1:15" x14ac:dyDescent="0.2">
      <c r="A1018" t="s">
        <v>1127</v>
      </c>
      <c r="B1018" s="7">
        <v>45555</v>
      </c>
      <c r="C1018" t="s">
        <v>55</v>
      </c>
      <c r="D1018" t="s">
        <v>23</v>
      </c>
      <c r="E1018" t="s">
        <v>82</v>
      </c>
      <c r="F1018" t="s">
        <v>83</v>
      </c>
      <c r="G1018" t="s">
        <v>58</v>
      </c>
      <c r="H1018" t="s">
        <v>59</v>
      </c>
      <c r="I1018" s="3">
        <v>68054.399999999994</v>
      </c>
      <c r="J1018">
        <v>8</v>
      </c>
      <c r="K1018" s="5">
        <v>0.15</v>
      </c>
      <c r="L1018" s="3">
        <v>9282.44</v>
      </c>
      <c r="M1018" t="s">
        <v>27</v>
      </c>
      <c r="N1018">
        <f t="shared" si="30"/>
        <v>2024</v>
      </c>
      <c r="O1018" t="str">
        <f t="shared" si="31"/>
        <v>September</v>
      </c>
    </row>
    <row r="1019" spans="1:15" x14ac:dyDescent="0.2">
      <c r="A1019" t="s">
        <v>1128</v>
      </c>
      <c r="B1019" s="7">
        <v>45438</v>
      </c>
      <c r="C1019" t="s">
        <v>76</v>
      </c>
      <c r="D1019" t="s">
        <v>15</v>
      </c>
      <c r="E1019" t="s">
        <v>56</v>
      </c>
      <c r="F1019" t="s">
        <v>57</v>
      </c>
      <c r="G1019" t="s">
        <v>42</v>
      </c>
      <c r="H1019" t="s">
        <v>102</v>
      </c>
      <c r="I1019" s="3">
        <v>4674</v>
      </c>
      <c r="J1019">
        <v>8</v>
      </c>
      <c r="K1019" s="5">
        <v>0.05</v>
      </c>
      <c r="L1019" s="3">
        <v>796.67</v>
      </c>
      <c r="M1019" t="s">
        <v>20</v>
      </c>
      <c r="N1019">
        <f t="shared" si="30"/>
        <v>2024</v>
      </c>
      <c r="O1019" t="str">
        <f t="shared" si="31"/>
        <v>May</v>
      </c>
    </row>
    <row r="1020" spans="1:15" x14ac:dyDescent="0.2">
      <c r="A1020" t="s">
        <v>1129</v>
      </c>
      <c r="B1020" s="7">
        <v>45600</v>
      </c>
      <c r="C1020" t="s">
        <v>45</v>
      </c>
      <c r="D1020" t="s">
        <v>15</v>
      </c>
      <c r="E1020" t="s">
        <v>16</v>
      </c>
      <c r="F1020" t="s">
        <v>230</v>
      </c>
      <c r="G1020" t="s">
        <v>58</v>
      </c>
      <c r="H1020" t="s">
        <v>84</v>
      </c>
      <c r="I1020" s="3">
        <v>2139.4</v>
      </c>
      <c r="J1020">
        <v>2</v>
      </c>
      <c r="K1020" s="5">
        <v>0.05</v>
      </c>
      <c r="L1020" s="3">
        <v>456.77</v>
      </c>
      <c r="M1020" t="s">
        <v>49</v>
      </c>
      <c r="N1020">
        <f t="shared" si="30"/>
        <v>2024</v>
      </c>
      <c r="O1020" t="str">
        <f t="shared" si="31"/>
        <v>November</v>
      </c>
    </row>
    <row r="1021" spans="1:15" x14ac:dyDescent="0.2">
      <c r="A1021" t="s">
        <v>1130</v>
      </c>
      <c r="B1021" s="7">
        <v>45686</v>
      </c>
      <c r="C1021" t="s">
        <v>14</v>
      </c>
      <c r="D1021" t="s">
        <v>15</v>
      </c>
      <c r="E1021" t="s">
        <v>56</v>
      </c>
      <c r="F1021" t="s">
        <v>57</v>
      </c>
      <c r="G1021" t="s">
        <v>42</v>
      </c>
      <c r="H1021" t="s">
        <v>98</v>
      </c>
      <c r="I1021" s="3">
        <v>17311</v>
      </c>
      <c r="J1021">
        <v>7</v>
      </c>
      <c r="K1021" s="5">
        <v>0</v>
      </c>
      <c r="L1021" s="3">
        <v>3974.38</v>
      </c>
      <c r="M1021" t="s">
        <v>40</v>
      </c>
      <c r="N1021">
        <f t="shared" si="30"/>
        <v>2025</v>
      </c>
      <c r="O1021" t="str">
        <f t="shared" si="31"/>
        <v>January</v>
      </c>
    </row>
    <row r="1022" spans="1:15" x14ac:dyDescent="0.2">
      <c r="A1022" t="s">
        <v>1131</v>
      </c>
      <c r="B1022" s="7">
        <v>45644</v>
      </c>
      <c r="C1022" t="s">
        <v>76</v>
      </c>
      <c r="D1022" t="s">
        <v>23</v>
      </c>
      <c r="E1022" t="s">
        <v>82</v>
      </c>
      <c r="F1022" t="s">
        <v>265</v>
      </c>
      <c r="G1022" t="s">
        <v>33</v>
      </c>
      <c r="H1022" t="s">
        <v>128</v>
      </c>
      <c r="I1022" s="3">
        <v>65284.800000000003</v>
      </c>
      <c r="J1022">
        <v>3</v>
      </c>
      <c r="K1022" s="5">
        <v>0.2</v>
      </c>
      <c r="L1022" s="3">
        <v>8236.02</v>
      </c>
      <c r="M1022" t="s">
        <v>35</v>
      </c>
      <c r="N1022">
        <f t="shared" si="30"/>
        <v>2024</v>
      </c>
      <c r="O1022" t="str">
        <f t="shared" si="31"/>
        <v>December</v>
      </c>
    </row>
    <row r="1023" spans="1:15" x14ac:dyDescent="0.2">
      <c r="A1023" t="s">
        <v>1132</v>
      </c>
      <c r="B1023" s="7">
        <v>45818</v>
      </c>
      <c r="C1023" t="s">
        <v>45</v>
      </c>
      <c r="D1023" t="s">
        <v>30</v>
      </c>
      <c r="E1023" t="s">
        <v>122</v>
      </c>
      <c r="F1023" t="s">
        <v>123</v>
      </c>
      <c r="G1023" t="s">
        <v>33</v>
      </c>
      <c r="H1023" t="s">
        <v>109</v>
      </c>
      <c r="I1023" s="3">
        <v>68458.5</v>
      </c>
      <c r="J1023">
        <v>5</v>
      </c>
      <c r="K1023" s="5">
        <v>0.1</v>
      </c>
      <c r="L1023" s="3">
        <v>12739.59</v>
      </c>
      <c r="M1023" t="s">
        <v>27</v>
      </c>
      <c r="N1023">
        <f t="shared" si="30"/>
        <v>2025</v>
      </c>
      <c r="O1023" t="str">
        <f t="shared" si="31"/>
        <v>June</v>
      </c>
    </row>
    <row r="1024" spans="1:15" x14ac:dyDescent="0.2">
      <c r="A1024" t="s">
        <v>1133</v>
      </c>
      <c r="B1024" s="7">
        <v>45666</v>
      </c>
      <c r="C1024" t="s">
        <v>22</v>
      </c>
      <c r="D1024" t="s">
        <v>23</v>
      </c>
      <c r="E1024" t="s">
        <v>79</v>
      </c>
      <c r="F1024" t="s">
        <v>93</v>
      </c>
      <c r="G1024" t="s">
        <v>42</v>
      </c>
      <c r="H1024" t="s">
        <v>43</v>
      </c>
      <c r="I1024" s="3">
        <v>285862.40000000002</v>
      </c>
      <c r="J1024">
        <v>8</v>
      </c>
      <c r="K1024" s="5">
        <v>0.2</v>
      </c>
      <c r="L1024" s="3">
        <v>23604.42</v>
      </c>
      <c r="M1024" t="s">
        <v>20</v>
      </c>
      <c r="N1024">
        <f t="shared" si="30"/>
        <v>2025</v>
      </c>
      <c r="O1024" t="str">
        <f t="shared" si="31"/>
        <v>January</v>
      </c>
    </row>
    <row r="1025" spans="1:15" x14ac:dyDescent="0.2">
      <c r="A1025" t="s">
        <v>1134</v>
      </c>
      <c r="B1025" s="7">
        <v>45738</v>
      </c>
      <c r="C1025" t="s">
        <v>51</v>
      </c>
      <c r="D1025" t="s">
        <v>15</v>
      </c>
      <c r="E1025" t="s">
        <v>46</v>
      </c>
      <c r="F1025" t="s">
        <v>47</v>
      </c>
      <c r="G1025" t="s">
        <v>18</v>
      </c>
      <c r="H1025" t="s">
        <v>26</v>
      </c>
      <c r="I1025" s="3">
        <v>1110.5999999999999</v>
      </c>
      <c r="J1025">
        <v>2</v>
      </c>
      <c r="K1025" s="5">
        <v>0.1</v>
      </c>
      <c r="L1025" s="3">
        <v>129.28</v>
      </c>
      <c r="M1025" t="s">
        <v>20</v>
      </c>
      <c r="N1025">
        <f t="shared" si="30"/>
        <v>2025</v>
      </c>
      <c r="O1025" t="str">
        <f t="shared" si="31"/>
        <v>March</v>
      </c>
    </row>
    <row r="1026" spans="1:15" x14ac:dyDescent="0.2">
      <c r="A1026" t="s">
        <v>1135</v>
      </c>
      <c r="B1026" s="7">
        <v>45447</v>
      </c>
      <c r="C1026" t="s">
        <v>90</v>
      </c>
      <c r="D1026" t="s">
        <v>15</v>
      </c>
      <c r="E1026" t="s">
        <v>46</v>
      </c>
      <c r="F1026" t="s">
        <v>176</v>
      </c>
      <c r="G1026" t="s">
        <v>58</v>
      </c>
      <c r="H1026" t="s">
        <v>74</v>
      </c>
      <c r="I1026" s="3">
        <v>3286.8</v>
      </c>
      <c r="J1026">
        <v>4</v>
      </c>
      <c r="K1026" s="5">
        <v>0.1</v>
      </c>
      <c r="L1026" s="3">
        <v>526.27</v>
      </c>
      <c r="M1026" t="s">
        <v>35</v>
      </c>
      <c r="N1026">
        <f t="shared" ref="N1026:N1089" si="32">YEAR(B1026)</f>
        <v>2024</v>
      </c>
      <c r="O1026" t="str">
        <f t="shared" ref="O1026:O1089" si="33">TEXT(B1026,"mmmm")</f>
        <v>June</v>
      </c>
    </row>
    <row r="1027" spans="1:15" x14ac:dyDescent="0.2">
      <c r="A1027" t="s">
        <v>1136</v>
      </c>
      <c r="B1027" s="7">
        <v>45925</v>
      </c>
      <c r="C1027" t="s">
        <v>76</v>
      </c>
      <c r="D1027" t="s">
        <v>15</v>
      </c>
      <c r="E1027" t="s">
        <v>16</v>
      </c>
      <c r="F1027" t="s">
        <v>230</v>
      </c>
      <c r="G1027" t="s">
        <v>42</v>
      </c>
      <c r="H1027" t="s">
        <v>98</v>
      </c>
      <c r="I1027" s="3">
        <v>1453.5</v>
      </c>
      <c r="J1027">
        <v>3</v>
      </c>
      <c r="K1027" s="5">
        <v>0.05</v>
      </c>
      <c r="L1027" s="3">
        <v>282.68</v>
      </c>
      <c r="M1027" t="s">
        <v>40</v>
      </c>
      <c r="N1027">
        <f t="shared" si="32"/>
        <v>2025</v>
      </c>
      <c r="O1027" t="str">
        <f t="shared" si="33"/>
        <v>September</v>
      </c>
    </row>
    <row r="1028" spans="1:15" x14ac:dyDescent="0.2">
      <c r="A1028" t="s">
        <v>1137</v>
      </c>
      <c r="B1028" s="7">
        <v>45723</v>
      </c>
      <c r="C1028" t="s">
        <v>29</v>
      </c>
      <c r="D1028" t="s">
        <v>15</v>
      </c>
      <c r="E1028" t="s">
        <v>56</v>
      </c>
      <c r="F1028" t="s">
        <v>57</v>
      </c>
      <c r="G1028" t="s">
        <v>58</v>
      </c>
      <c r="H1028" t="s">
        <v>74</v>
      </c>
      <c r="I1028" s="3">
        <v>1116.9000000000001</v>
      </c>
      <c r="J1028">
        <v>1</v>
      </c>
      <c r="K1028" s="5">
        <v>0.15</v>
      </c>
      <c r="L1028" s="3">
        <v>248.72</v>
      </c>
      <c r="M1028" t="s">
        <v>49</v>
      </c>
      <c r="N1028">
        <f t="shared" si="32"/>
        <v>2025</v>
      </c>
      <c r="O1028" t="str">
        <f t="shared" si="33"/>
        <v>March</v>
      </c>
    </row>
    <row r="1029" spans="1:15" x14ac:dyDescent="0.2">
      <c r="A1029" t="s">
        <v>1138</v>
      </c>
      <c r="B1029" s="7">
        <v>45360</v>
      </c>
      <c r="C1029" t="s">
        <v>14</v>
      </c>
      <c r="D1029" t="s">
        <v>30</v>
      </c>
      <c r="E1029" t="s">
        <v>31</v>
      </c>
      <c r="F1029" t="s">
        <v>32</v>
      </c>
      <c r="G1029" t="s">
        <v>42</v>
      </c>
      <c r="H1029" t="s">
        <v>102</v>
      </c>
      <c r="I1029" s="3">
        <v>44040</v>
      </c>
      <c r="J1029">
        <v>5</v>
      </c>
      <c r="K1029" s="5">
        <v>0.2</v>
      </c>
      <c r="L1029" s="3">
        <v>6553.02</v>
      </c>
      <c r="M1029" t="s">
        <v>49</v>
      </c>
      <c r="N1029">
        <f t="shared" si="32"/>
        <v>2024</v>
      </c>
      <c r="O1029" t="str">
        <f t="shared" si="33"/>
        <v>March</v>
      </c>
    </row>
    <row r="1030" spans="1:15" x14ac:dyDescent="0.2">
      <c r="A1030" t="s">
        <v>1139</v>
      </c>
      <c r="B1030" s="7">
        <v>45546</v>
      </c>
      <c r="C1030" t="s">
        <v>45</v>
      </c>
      <c r="D1030" t="s">
        <v>23</v>
      </c>
      <c r="E1030" t="s">
        <v>24</v>
      </c>
      <c r="F1030" t="s">
        <v>77</v>
      </c>
      <c r="G1030" t="s">
        <v>58</v>
      </c>
      <c r="H1030" t="s">
        <v>74</v>
      </c>
      <c r="I1030" s="3">
        <v>313749.45</v>
      </c>
      <c r="J1030">
        <v>7</v>
      </c>
      <c r="K1030" s="5">
        <v>0.15</v>
      </c>
      <c r="L1030" s="3">
        <v>50445.67</v>
      </c>
      <c r="M1030" t="s">
        <v>20</v>
      </c>
      <c r="N1030">
        <f t="shared" si="32"/>
        <v>2024</v>
      </c>
      <c r="O1030" t="str">
        <f t="shared" si="33"/>
        <v>September</v>
      </c>
    </row>
    <row r="1031" spans="1:15" x14ac:dyDescent="0.2">
      <c r="A1031" t="s">
        <v>1140</v>
      </c>
      <c r="B1031" s="7">
        <v>45303</v>
      </c>
      <c r="C1031" t="s">
        <v>37</v>
      </c>
      <c r="D1031" t="s">
        <v>23</v>
      </c>
      <c r="E1031" t="s">
        <v>79</v>
      </c>
      <c r="F1031" t="s">
        <v>107</v>
      </c>
      <c r="G1031" t="s">
        <v>33</v>
      </c>
      <c r="H1031" t="s">
        <v>109</v>
      </c>
      <c r="I1031" s="3">
        <v>39660.300000000003</v>
      </c>
      <c r="J1031">
        <v>3</v>
      </c>
      <c r="K1031" s="5">
        <v>0.1</v>
      </c>
      <c r="L1031" s="3">
        <v>8214.32</v>
      </c>
      <c r="M1031" t="s">
        <v>35</v>
      </c>
      <c r="N1031">
        <f t="shared" si="32"/>
        <v>2024</v>
      </c>
      <c r="O1031" t="str">
        <f t="shared" si="33"/>
        <v>January</v>
      </c>
    </row>
    <row r="1032" spans="1:15" x14ac:dyDescent="0.2">
      <c r="A1032" t="s">
        <v>1141</v>
      </c>
      <c r="B1032" s="7">
        <v>45364</v>
      </c>
      <c r="C1032" t="s">
        <v>45</v>
      </c>
      <c r="D1032" t="s">
        <v>30</v>
      </c>
      <c r="E1032" t="s">
        <v>72</v>
      </c>
      <c r="F1032" t="s">
        <v>217</v>
      </c>
      <c r="G1032" t="s">
        <v>18</v>
      </c>
      <c r="H1032" t="s">
        <v>63</v>
      </c>
      <c r="I1032" s="3">
        <v>31302.400000000001</v>
      </c>
      <c r="J1032">
        <v>8</v>
      </c>
      <c r="K1032" s="5">
        <v>0.2</v>
      </c>
      <c r="L1032" s="3">
        <v>3783.63</v>
      </c>
      <c r="M1032" t="s">
        <v>27</v>
      </c>
      <c r="N1032">
        <f t="shared" si="32"/>
        <v>2024</v>
      </c>
      <c r="O1032" t="str">
        <f t="shared" si="33"/>
        <v>March</v>
      </c>
    </row>
    <row r="1033" spans="1:15" x14ac:dyDescent="0.2">
      <c r="A1033" t="s">
        <v>1142</v>
      </c>
      <c r="B1033" s="7">
        <v>45397</v>
      </c>
      <c r="C1033" t="s">
        <v>37</v>
      </c>
      <c r="D1033" t="s">
        <v>23</v>
      </c>
      <c r="E1033" t="s">
        <v>38</v>
      </c>
      <c r="F1033" t="s">
        <v>39</v>
      </c>
      <c r="G1033" t="s">
        <v>42</v>
      </c>
      <c r="H1033" t="s">
        <v>102</v>
      </c>
      <c r="I1033" s="3">
        <v>209606.39999999999</v>
      </c>
      <c r="J1033">
        <v>8</v>
      </c>
      <c r="K1033" s="5">
        <v>0.1</v>
      </c>
      <c r="L1033" s="3">
        <v>20945.27</v>
      </c>
      <c r="M1033" t="s">
        <v>35</v>
      </c>
      <c r="N1033">
        <f t="shared" si="32"/>
        <v>2024</v>
      </c>
      <c r="O1033" t="str">
        <f t="shared" si="33"/>
        <v>April</v>
      </c>
    </row>
    <row r="1034" spans="1:15" x14ac:dyDescent="0.2">
      <c r="A1034" t="s">
        <v>1143</v>
      </c>
      <c r="B1034" s="7">
        <v>45574</v>
      </c>
      <c r="C1034" t="s">
        <v>68</v>
      </c>
      <c r="D1034" t="s">
        <v>15</v>
      </c>
      <c r="E1034" t="s">
        <v>65</v>
      </c>
      <c r="F1034" t="s">
        <v>222</v>
      </c>
      <c r="G1034" t="s">
        <v>33</v>
      </c>
      <c r="H1034" t="s">
        <v>109</v>
      </c>
      <c r="I1034" s="3">
        <v>3339</v>
      </c>
      <c r="J1034">
        <v>7</v>
      </c>
      <c r="K1034" s="5">
        <v>0.1</v>
      </c>
      <c r="L1034" s="3">
        <v>746.15</v>
      </c>
      <c r="M1034" t="s">
        <v>35</v>
      </c>
      <c r="N1034">
        <f t="shared" si="32"/>
        <v>2024</v>
      </c>
      <c r="O1034" t="str">
        <f t="shared" si="33"/>
        <v>October</v>
      </c>
    </row>
    <row r="1035" spans="1:15" x14ac:dyDescent="0.2">
      <c r="A1035" t="s">
        <v>1144</v>
      </c>
      <c r="B1035" s="7">
        <v>45897</v>
      </c>
      <c r="C1035" t="s">
        <v>22</v>
      </c>
      <c r="D1035" t="s">
        <v>30</v>
      </c>
      <c r="E1035" t="s">
        <v>122</v>
      </c>
      <c r="F1035" t="s">
        <v>131</v>
      </c>
      <c r="G1035" t="s">
        <v>42</v>
      </c>
      <c r="H1035" t="s">
        <v>119</v>
      </c>
      <c r="I1035" s="3">
        <v>13368</v>
      </c>
      <c r="J1035">
        <v>1</v>
      </c>
      <c r="K1035" s="5">
        <v>0.2</v>
      </c>
      <c r="L1035" s="3">
        <v>1724.41</v>
      </c>
      <c r="M1035" t="s">
        <v>27</v>
      </c>
      <c r="N1035">
        <f t="shared" si="32"/>
        <v>2025</v>
      </c>
      <c r="O1035" t="str">
        <f t="shared" si="33"/>
        <v>August</v>
      </c>
    </row>
    <row r="1036" spans="1:15" x14ac:dyDescent="0.2">
      <c r="A1036" t="s">
        <v>1145</v>
      </c>
      <c r="B1036" s="7">
        <v>45536</v>
      </c>
      <c r="C1036" t="s">
        <v>45</v>
      </c>
      <c r="D1036" t="s">
        <v>23</v>
      </c>
      <c r="E1036" t="s">
        <v>38</v>
      </c>
      <c r="F1036" t="s">
        <v>140</v>
      </c>
      <c r="G1036" t="s">
        <v>58</v>
      </c>
      <c r="H1036" t="s">
        <v>59</v>
      </c>
      <c r="I1036" s="3">
        <v>79776</v>
      </c>
      <c r="J1036">
        <v>2</v>
      </c>
      <c r="K1036" s="5">
        <v>0</v>
      </c>
      <c r="L1036" s="3">
        <v>8256.39</v>
      </c>
      <c r="M1036" t="s">
        <v>35</v>
      </c>
      <c r="N1036">
        <f t="shared" si="32"/>
        <v>2024</v>
      </c>
      <c r="O1036" t="str">
        <f t="shared" si="33"/>
        <v>September</v>
      </c>
    </row>
    <row r="1037" spans="1:15" x14ac:dyDescent="0.2">
      <c r="A1037" t="s">
        <v>1146</v>
      </c>
      <c r="B1037" s="7">
        <v>45330</v>
      </c>
      <c r="C1037" t="s">
        <v>22</v>
      </c>
      <c r="D1037" t="s">
        <v>15</v>
      </c>
      <c r="E1037" t="s">
        <v>56</v>
      </c>
      <c r="F1037" t="s">
        <v>100</v>
      </c>
      <c r="G1037" t="s">
        <v>58</v>
      </c>
      <c r="H1037" t="s">
        <v>59</v>
      </c>
      <c r="I1037" s="3">
        <v>1589.6</v>
      </c>
      <c r="J1037">
        <v>1</v>
      </c>
      <c r="K1037" s="5">
        <v>0.2</v>
      </c>
      <c r="L1037" s="3">
        <v>322.18</v>
      </c>
      <c r="M1037" t="s">
        <v>49</v>
      </c>
      <c r="N1037">
        <f t="shared" si="32"/>
        <v>2024</v>
      </c>
      <c r="O1037" t="str">
        <f t="shared" si="33"/>
        <v>February</v>
      </c>
    </row>
    <row r="1038" spans="1:15" x14ac:dyDescent="0.2">
      <c r="A1038" t="s">
        <v>1147</v>
      </c>
      <c r="B1038" s="7">
        <v>45551</v>
      </c>
      <c r="C1038" t="s">
        <v>45</v>
      </c>
      <c r="D1038" t="s">
        <v>15</v>
      </c>
      <c r="E1038" t="s">
        <v>16</v>
      </c>
      <c r="F1038" t="s">
        <v>17</v>
      </c>
      <c r="G1038" t="s">
        <v>33</v>
      </c>
      <c r="H1038" t="s">
        <v>48</v>
      </c>
      <c r="I1038" s="3">
        <v>10728</v>
      </c>
      <c r="J1038">
        <v>6</v>
      </c>
      <c r="K1038" s="5">
        <v>0</v>
      </c>
      <c r="L1038" s="3">
        <v>2422.5100000000002</v>
      </c>
      <c r="M1038" t="s">
        <v>27</v>
      </c>
      <c r="N1038">
        <f t="shared" si="32"/>
        <v>2024</v>
      </c>
      <c r="O1038" t="str">
        <f t="shared" si="33"/>
        <v>September</v>
      </c>
    </row>
    <row r="1039" spans="1:15" x14ac:dyDescent="0.2">
      <c r="A1039" t="s">
        <v>1148</v>
      </c>
      <c r="B1039" s="7">
        <v>45852</v>
      </c>
      <c r="C1039" t="s">
        <v>45</v>
      </c>
      <c r="D1039" t="s">
        <v>30</v>
      </c>
      <c r="E1039" t="s">
        <v>31</v>
      </c>
      <c r="F1039" t="s">
        <v>32</v>
      </c>
      <c r="G1039" t="s">
        <v>42</v>
      </c>
      <c r="H1039" t="s">
        <v>43</v>
      </c>
      <c r="I1039" s="3">
        <v>53711.1</v>
      </c>
      <c r="J1039">
        <v>6</v>
      </c>
      <c r="K1039" s="5">
        <v>0.05</v>
      </c>
      <c r="L1039" s="3">
        <v>9624.7900000000009</v>
      </c>
      <c r="M1039" t="s">
        <v>49</v>
      </c>
      <c r="N1039">
        <f t="shared" si="32"/>
        <v>2025</v>
      </c>
      <c r="O1039" t="str">
        <f t="shared" si="33"/>
        <v>July</v>
      </c>
    </row>
    <row r="1040" spans="1:15" x14ac:dyDescent="0.2">
      <c r="A1040" t="s">
        <v>1149</v>
      </c>
      <c r="B1040" s="7">
        <v>45384</v>
      </c>
      <c r="C1040" t="s">
        <v>22</v>
      </c>
      <c r="D1040" t="s">
        <v>30</v>
      </c>
      <c r="E1040" t="s">
        <v>31</v>
      </c>
      <c r="F1040" t="s">
        <v>97</v>
      </c>
      <c r="G1040" t="s">
        <v>58</v>
      </c>
      <c r="H1040" t="s">
        <v>95</v>
      </c>
      <c r="I1040" s="3">
        <v>44587.8</v>
      </c>
      <c r="J1040">
        <v>6</v>
      </c>
      <c r="K1040" s="5">
        <v>0.1</v>
      </c>
      <c r="L1040" s="3">
        <v>3355.66</v>
      </c>
      <c r="M1040" t="s">
        <v>27</v>
      </c>
      <c r="N1040">
        <f t="shared" si="32"/>
        <v>2024</v>
      </c>
      <c r="O1040" t="str">
        <f t="shared" si="33"/>
        <v>April</v>
      </c>
    </row>
    <row r="1041" spans="1:15" x14ac:dyDescent="0.2">
      <c r="A1041" t="s">
        <v>1150</v>
      </c>
      <c r="B1041" s="7">
        <v>45662</v>
      </c>
      <c r="C1041" t="s">
        <v>55</v>
      </c>
      <c r="D1041" t="s">
        <v>15</v>
      </c>
      <c r="E1041" t="s">
        <v>61</v>
      </c>
      <c r="F1041" t="s">
        <v>111</v>
      </c>
      <c r="G1041" t="s">
        <v>33</v>
      </c>
      <c r="H1041" t="s">
        <v>109</v>
      </c>
      <c r="I1041" s="3">
        <v>6912</v>
      </c>
      <c r="J1041">
        <v>5</v>
      </c>
      <c r="K1041" s="5">
        <v>0.1</v>
      </c>
      <c r="L1041" s="3">
        <v>1494.23</v>
      </c>
      <c r="M1041" t="s">
        <v>40</v>
      </c>
      <c r="N1041">
        <f t="shared" si="32"/>
        <v>2025</v>
      </c>
      <c r="O1041" t="str">
        <f t="shared" si="33"/>
        <v>January</v>
      </c>
    </row>
    <row r="1042" spans="1:15" x14ac:dyDescent="0.2">
      <c r="A1042" t="s">
        <v>1151</v>
      </c>
      <c r="B1042" s="7">
        <v>45843</v>
      </c>
      <c r="C1042" t="s">
        <v>55</v>
      </c>
      <c r="D1042" t="s">
        <v>30</v>
      </c>
      <c r="E1042" t="s">
        <v>52</v>
      </c>
      <c r="F1042" t="s">
        <v>118</v>
      </c>
      <c r="G1042" t="s">
        <v>18</v>
      </c>
      <c r="H1042" t="s">
        <v>26</v>
      </c>
      <c r="I1042" s="3">
        <v>78228</v>
      </c>
      <c r="J1042">
        <v>5</v>
      </c>
      <c r="K1042" s="5">
        <v>0.1</v>
      </c>
      <c r="L1042" s="3">
        <v>16142.67</v>
      </c>
      <c r="M1042" t="s">
        <v>49</v>
      </c>
      <c r="N1042">
        <f t="shared" si="32"/>
        <v>2025</v>
      </c>
      <c r="O1042" t="str">
        <f t="shared" si="33"/>
        <v>July</v>
      </c>
    </row>
    <row r="1043" spans="1:15" x14ac:dyDescent="0.2">
      <c r="A1043" t="s">
        <v>1152</v>
      </c>
      <c r="B1043" s="7">
        <v>45698</v>
      </c>
      <c r="C1043" t="s">
        <v>55</v>
      </c>
      <c r="D1043" t="s">
        <v>15</v>
      </c>
      <c r="E1043" t="s">
        <v>16</v>
      </c>
      <c r="F1043" t="s">
        <v>17</v>
      </c>
      <c r="G1043" t="s">
        <v>33</v>
      </c>
      <c r="H1043" t="s">
        <v>128</v>
      </c>
      <c r="I1043" s="3">
        <v>4391.1000000000004</v>
      </c>
      <c r="J1043">
        <v>7</v>
      </c>
      <c r="K1043" s="5">
        <v>0.1</v>
      </c>
      <c r="L1043" s="3">
        <v>709.45</v>
      </c>
      <c r="M1043" t="s">
        <v>49</v>
      </c>
      <c r="N1043">
        <f t="shared" si="32"/>
        <v>2025</v>
      </c>
      <c r="O1043" t="str">
        <f t="shared" si="33"/>
        <v>February</v>
      </c>
    </row>
    <row r="1044" spans="1:15" x14ac:dyDescent="0.2">
      <c r="A1044" t="s">
        <v>1153</v>
      </c>
      <c r="B1044" s="7">
        <v>45572</v>
      </c>
      <c r="C1044" t="s">
        <v>14</v>
      </c>
      <c r="D1044" t="s">
        <v>23</v>
      </c>
      <c r="E1044" t="s">
        <v>79</v>
      </c>
      <c r="F1044" t="s">
        <v>107</v>
      </c>
      <c r="G1044" t="s">
        <v>18</v>
      </c>
      <c r="H1044" t="s">
        <v>19</v>
      </c>
      <c r="I1044" s="3">
        <v>354182.40000000002</v>
      </c>
      <c r="J1044">
        <v>8</v>
      </c>
      <c r="K1044" s="5">
        <v>0.2</v>
      </c>
      <c r="L1044" s="3">
        <v>21605.96</v>
      </c>
      <c r="M1044" t="s">
        <v>49</v>
      </c>
      <c r="N1044">
        <f t="shared" si="32"/>
        <v>2024</v>
      </c>
      <c r="O1044" t="str">
        <f t="shared" si="33"/>
        <v>October</v>
      </c>
    </row>
    <row r="1045" spans="1:15" x14ac:dyDescent="0.2">
      <c r="A1045" t="s">
        <v>1154</v>
      </c>
      <c r="B1045" s="7">
        <v>45918</v>
      </c>
      <c r="C1045" t="s">
        <v>29</v>
      </c>
      <c r="D1045" t="s">
        <v>23</v>
      </c>
      <c r="E1045" t="s">
        <v>24</v>
      </c>
      <c r="F1045" t="s">
        <v>86</v>
      </c>
      <c r="G1045" t="s">
        <v>33</v>
      </c>
      <c r="H1045" t="s">
        <v>48</v>
      </c>
      <c r="I1045" s="3">
        <v>40762.6</v>
      </c>
      <c r="J1045">
        <v>4</v>
      </c>
      <c r="K1045" s="5">
        <v>0.05</v>
      </c>
      <c r="L1045" s="3">
        <v>10615.32</v>
      </c>
      <c r="M1045" t="s">
        <v>49</v>
      </c>
      <c r="N1045">
        <f t="shared" si="32"/>
        <v>2025</v>
      </c>
      <c r="O1045" t="str">
        <f t="shared" si="33"/>
        <v>September</v>
      </c>
    </row>
    <row r="1046" spans="1:15" x14ac:dyDescent="0.2">
      <c r="A1046" t="s">
        <v>1155</v>
      </c>
      <c r="B1046" s="7">
        <v>45561</v>
      </c>
      <c r="C1046" t="s">
        <v>22</v>
      </c>
      <c r="D1046" t="s">
        <v>30</v>
      </c>
      <c r="E1046" t="s">
        <v>72</v>
      </c>
      <c r="F1046" t="s">
        <v>217</v>
      </c>
      <c r="G1046" t="s">
        <v>33</v>
      </c>
      <c r="H1046" t="s">
        <v>109</v>
      </c>
      <c r="I1046" s="3">
        <v>84949.2</v>
      </c>
      <c r="J1046">
        <v>7</v>
      </c>
      <c r="K1046" s="5">
        <v>0.1</v>
      </c>
      <c r="L1046" s="3">
        <v>18322.29</v>
      </c>
      <c r="M1046" t="s">
        <v>27</v>
      </c>
      <c r="N1046">
        <f t="shared" si="32"/>
        <v>2024</v>
      </c>
      <c r="O1046" t="str">
        <f t="shared" si="33"/>
        <v>September</v>
      </c>
    </row>
    <row r="1047" spans="1:15" x14ac:dyDescent="0.2">
      <c r="A1047" t="s">
        <v>1156</v>
      </c>
      <c r="B1047" s="7">
        <v>45811</v>
      </c>
      <c r="C1047" t="s">
        <v>29</v>
      </c>
      <c r="D1047" t="s">
        <v>30</v>
      </c>
      <c r="E1047" t="s">
        <v>31</v>
      </c>
      <c r="F1047" t="s">
        <v>32</v>
      </c>
      <c r="G1047" t="s">
        <v>42</v>
      </c>
      <c r="H1047" t="s">
        <v>119</v>
      </c>
      <c r="I1047" s="3">
        <v>21336</v>
      </c>
      <c r="J1047">
        <v>3</v>
      </c>
      <c r="K1047" s="5">
        <v>0.2</v>
      </c>
      <c r="L1047" s="3">
        <v>1189.54</v>
      </c>
      <c r="M1047" t="s">
        <v>35</v>
      </c>
      <c r="N1047">
        <f t="shared" si="32"/>
        <v>2025</v>
      </c>
      <c r="O1047" t="str">
        <f t="shared" si="33"/>
        <v>June</v>
      </c>
    </row>
    <row r="1048" spans="1:15" x14ac:dyDescent="0.2">
      <c r="A1048" t="s">
        <v>1157</v>
      </c>
      <c r="B1048" s="7">
        <v>45740</v>
      </c>
      <c r="C1048" t="s">
        <v>29</v>
      </c>
      <c r="D1048" t="s">
        <v>30</v>
      </c>
      <c r="E1048" t="s">
        <v>52</v>
      </c>
      <c r="F1048" t="s">
        <v>118</v>
      </c>
      <c r="G1048" t="s">
        <v>33</v>
      </c>
      <c r="H1048" t="s">
        <v>34</v>
      </c>
      <c r="I1048" s="3">
        <v>38472</v>
      </c>
      <c r="J1048">
        <v>4</v>
      </c>
      <c r="K1048" s="5">
        <v>0</v>
      </c>
      <c r="L1048" s="3">
        <v>6619.02</v>
      </c>
      <c r="M1048" t="s">
        <v>35</v>
      </c>
      <c r="N1048">
        <f t="shared" si="32"/>
        <v>2025</v>
      </c>
      <c r="O1048" t="str">
        <f t="shared" si="33"/>
        <v>March</v>
      </c>
    </row>
    <row r="1049" spans="1:15" x14ac:dyDescent="0.2">
      <c r="A1049" t="s">
        <v>1158</v>
      </c>
      <c r="B1049" s="7">
        <v>45443</v>
      </c>
      <c r="C1049" t="s">
        <v>37</v>
      </c>
      <c r="D1049" t="s">
        <v>30</v>
      </c>
      <c r="E1049" t="s">
        <v>52</v>
      </c>
      <c r="F1049" t="s">
        <v>118</v>
      </c>
      <c r="G1049" t="s">
        <v>33</v>
      </c>
      <c r="H1049" t="s">
        <v>128</v>
      </c>
      <c r="I1049" s="3">
        <v>18258</v>
      </c>
      <c r="J1049">
        <v>8</v>
      </c>
      <c r="K1049" s="5">
        <v>0.15</v>
      </c>
      <c r="L1049" s="3">
        <v>3944.01</v>
      </c>
      <c r="M1049" t="s">
        <v>27</v>
      </c>
      <c r="N1049">
        <f t="shared" si="32"/>
        <v>2024</v>
      </c>
      <c r="O1049" t="str">
        <f t="shared" si="33"/>
        <v>May</v>
      </c>
    </row>
    <row r="1050" spans="1:15" x14ac:dyDescent="0.2">
      <c r="A1050" t="s">
        <v>1159</v>
      </c>
      <c r="B1050" s="7">
        <v>45609</v>
      </c>
      <c r="C1050" t="s">
        <v>51</v>
      </c>
      <c r="D1050" t="s">
        <v>23</v>
      </c>
      <c r="E1050" t="s">
        <v>79</v>
      </c>
      <c r="F1050" t="s">
        <v>93</v>
      </c>
      <c r="G1050" t="s">
        <v>42</v>
      </c>
      <c r="H1050" t="s">
        <v>102</v>
      </c>
      <c r="I1050" s="3">
        <v>223698.4</v>
      </c>
      <c r="J1050">
        <v>8</v>
      </c>
      <c r="K1050" s="5">
        <v>0.05</v>
      </c>
      <c r="L1050" s="3">
        <v>44708.4</v>
      </c>
      <c r="M1050" t="s">
        <v>27</v>
      </c>
      <c r="N1050">
        <f t="shared" si="32"/>
        <v>2024</v>
      </c>
      <c r="O1050" t="str">
        <f t="shared" si="33"/>
        <v>November</v>
      </c>
    </row>
    <row r="1051" spans="1:15" x14ac:dyDescent="0.2">
      <c r="A1051" t="s">
        <v>1160</v>
      </c>
      <c r="B1051" s="7">
        <v>45364</v>
      </c>
      <c r="C1051" t="s">
        <v>90</v>
      </c>
      <c r="D1051" t="s">
        <v>30</v>
      </c>
      <c r="E1051" t="s">
        <v>31</v>
      </c>
      <c r="F1051" t="s">
        <v>188</v>
      </c>
      <c r="G1051" t="s">
        <v>58</v>
      </c>
      <c r="H1051" t="s">
        <v>74</v>
      </c>
      <c r="I1051" s="3">
        <v>5518.8</v>
      </c>
      <c r="J1051">
        <v>6</v>
      </c>
      <c r="K1051" s="5">
        <v>0.1</v>
      </c>
      <c r="L1051" s="3">
        <v>951.94</v>
      </c>
      <c r="M1051" t="s">
        <v>20</v>
      </c>
      <c r="N1051">
        <f t="shared" si="32"/>
        <v>2024</v>
      </c>
      <c r="O1051" t="str">
        <f t="shared" si="33"/>
        <v>March</v>
      </c>
    </row>
    <row r="1052" spans="1:15" x14ac:dyDescent="0.2">
      <c r="A1052" t="s">
        <v>1161</v>
      </c>
      <c r="B1052" s="7">
        <v>45631</v>
      </c>
      <c r="C1052" t="s">
        <v>37</v>
      </c>
      <c r="D1052" t="s">
        <v>15</v>
      </c>
      <c r="E1052" t="s">
        <v>61</v>
      </c>
      <c r="F1052" t="s">
        <v>111</v>
      </c>
      <c r="G1052" t="s">
        <v>33</v>
      </c>
      <c r="H1052" t="s">
        <v>48</v>
      </c>
      <c r="I1052" s="3">
        <v>561</v>
      </c>
      <c r="J1052">
        <v>3</v>
      </c>
      <c r="K1052" s="5">
        <v>0.15</v>
      </c>
      <c r="L1052" s="3">
        <v>105.6</v>
      </c>
      <c r="M1052" t="s">
        <v>20</v>
      </c>
      <c r="N1052">
        <f t="shared" si="32"/>
        <v>2024</v>
      </c>
      <c r="O1052" t="str">
        <f t="shared" si="33"/>
        <v>December</v>
      </c>
    </row>
    <row r="1053" spans="1:15" x14ac:dyDescent="0.2">
      <c r="A1053" t="s">
        <v>1162</v>
      </c>
      <c r="B1053" s="7">
        <v>45473</v>
      </c>
      <c r="C1053" t="s">
        <v>22</v>
      </c>
      <c r="D1053" t="s">
        <v>30</v>
      </c>
      <c r="E1053" t="s">
        <v>72</v>
      </c>
      <c r="F1053" t="s">
        <v>207</v>
      </c>
      <c r="G1053" t="s">
        <v>58</v>
      </c>
      <c r="H1053" t="s">
        <v>59</v>
      </c>
      <c r="I1053" s="3">
        <v>96392</v>
      </c>
      <c r="J1053">
        <v>8</v>
      </c>
      <c r="K1053" s="5">
        <v>0</v>
      </c>
      <c r="L1053" s="3">
        <v>13710.71</v>
      </c>
      <c r="M1053" t="s">
        <v>27</v>
      </c>
      <c r="N1053">
        <f t="shared" si="32"/>
        <v>2024</v>
      </c>
      <c r="O1053" t="str">
        <f t="shared" si="33"/>
        <v>June</v>
      </c>
    </row>
    <row r="1054" spans="1:15" x14ac:dyDescent="0.2">
      <c r="A1054" t="s">
        <v>1163</v>
      </c>
      <c r="B1054" s="7">
        <v>45388</v>
      </c>
      <c r="C1054" t="s">
        <v>51</v>
      </c>
      <c r="D1054" t="s">
        <v>30</v>
      </c>
      <c r="E1054" t="s">
        <v>52</v>
      </c>
      <c r="F1054" t="s">
        <v>127</v>
      </c>
      <c r="G1054" t="s">
        <v>33</v>
      </c>
      <c r="H1054" t="s">
        <v>34</v>
      </c>
      <c r="I1054" s="3">
        <v>44308.800000000003</v>
      </c>
      <c r="J1054">
        <v>4</v>
      </c>
      <c r="K1054" s="5">
        <v>0.1</v>
      </c>
      <c r="L1054" s="3">
        <v>6440.08</v>
      </c>
      <c r="M1054" t="s">
        <v>27</v>
      </c>
      <c r="N1054">
        <f t="shared" si="32"/>
        <v>2024</v>
      </c>
      <c r="O1054" t="str">
        <f t="shared" si="33"/>
        <v>April</v>
      </c>
    </row>
    <row r="1055" spans="1:15" x14ac:dyDescent="0.2">
      <c r="A1055" t="s">
        <v>1164</v>
      </c>
      <c r="B1055" s="7">
        <v>45626</v>
      </c>
      <c r="C1055" t="s">
        <v>22</v>
      </c>
      <c r="D1055" t="s">
        <v>23</v>
      </c>
      <c r="E1055" t="s">
        <v>172</v>
      </c>
      <c r="F1055" t="s">
        <v>173</v>
      </c>
      <c r="G1055" t="s">
        <v>18</v>
      </c>
      <c r="H1055" t="s">
        <v>70</v>
      </c>
      <c r="I1055" s="3">
        <v>35798.400000000001</v>
      </c>
      <c r="J1055">
        <v>6</v>
      </c>
      <c r="K1055" s="5">
        <v>0.2</v>
      </c>
      <c r="L1055" s="3">
        <v>1164.01</v>
      </c>
      <c r="M1055" t="s">
        <v>27</v>
      </c>
      <c r="N1055">
        <f t="shared" si="32"/>
        <v>2024</v>
      </c>
      <c r="O1055" t="str">
        <f t="shared" si="33"/>
        <v>November</v>
      </c>
    </row>
    <row r="1056" spans="1:15" x14ac:dyDescent="0.2">
      <c r="A1056" t="s">
        <v>1165</v>
      </c>
      <c r="B1056" s="7">
        <v>45645</v>
      </c>
      <c r="C1056" t="s">
        <v>37</v>
      </c>
      <c r="D1056" t="s">
        <v>23</v>
      </c>
      <c r="E1056" t="s">
        <v>172</v>
      </c>
      <c r="F1056" t="s">
        <v>182</v>
      </c>
      <c r="G1056" t="s">
        <v>42</v>
      </c>
      <c r="H1056" t="s">
        <v>102</v>
      </c>
      <c r="I1056" s="3">
        <v>137318.39999999999</v>
      </c>
      <c r="J1056">
        <v>4</v>
      </c>
      <c r="K1056" s="5">
        <v>0.2</v>
      </c>
      <c r="L1056" s="3">
        <v>10116.9</v>
      </c>
      <c r="M1056" t="s">
        <v>40</v>
      </c>
      <c r="N1056">
        <f t="shared" si="32"/>
        <v>2024</v>
      </c>
      <c r="O1056" t="str">
        <f t="shared" si="33"/>
        <v>December</v>
      </c>
    </row>
    <row r="1057" spans="1:15" x14ac:dyDescent="0.2">
      <c r="A1057" t="s">
        <v>1166</v>
      </c>
      <c r="B1057" s="7">
        <v>45842</v>
      </c>
      <c r="C1057" t="s">
        <v>37</v>
      </c>
      <c r="D1057" t="s">
        <v>15</v>
      </c>
      <c r="E1057" t="s">
        <v>65</v>
      </c>
      <c r="F1057" t="s">
        <v>222</v>
      </c>
      <c r="G1057" t="s">
        <v>33</v>
      </c>
      <c r="H1057" t="s">
        <v>109</v>
      </c>
      <c r="I1057" s="3">
        <v>5769</v>
      </c>
      <c r="J1057">
        <v>3</v>
      </c>
      <c r="K1057" s="5">
        <v>0</v>
      </c>
      <c r="L1057" s="3">
        <v>1179.28</v>
      </c>
      <c r="M1057" t="s">
        <v>27</v>
      </c>
      <c r="N1057">
        <f t="shared" si="32"/>
        <v>2025</v>
      </c>
      <c r="O1057" t="str">
        <f t="shared" si="33"/>
        <v>July</v>
      </c>
    </row>
    <row r="1058" spans="1:15" x14ac:dyDescent="0.2">
      <c r="A1058" t="s">
        <v>1167</v>
      </c>
      <c r="B1058" s="7">
        <v>45919</v>
      </c>
      <c r="C1058" t="s">
        <v>45</v>
      </c>
      <c r="D1058" t="s">
        <v>30</v>
      </c>
      <c r="E1058" t="s">
        <v>52</v>
      </c>
      <c r="F1058" t="s">
        <v>118</v>
      </c>
      <c r="G1058" t="s">
        <v>42</v>
      </c>
      <c r="H1058" t="s">
        <v>98</v>
      </c>
      <c r="I1058" s="3">
        <v>11590.95</v>
      </c>
      <c r="J1058">
        <v>3</v>
      </c>
      <c r="K1058" s="5">
        <v>0.05</v>
      </c>
      <c r="L1058" s="3">
        <v>2181.42</v>
      </c>
      <c r="M1058" t="s">
        <v>49</v>
      </c>
      <c r="N1058">
        <f t="shared" si="32"/>
        <v>2025</v>
      </c>
      <c r="O1058" t="str">
        <f t="shared" si="33"/>
        <v>September</v>
      </c>
    </row>
    <row r="1059" spans="1:15" x14ac:dyDescent="0.2">
      <c r="A1059" t="s">
        <v>1168</v>
      </c>
      <c r="B1059" s="7">
        <v>45794</v>
      </c>
      <c r="C1059" t="s">
        <v>76</v>
      </c>
      <c r="D1059" t="s">
        <v>15</v>
      </c>
      <c r="E1059" t="s">
        <v>56</v>
      </c>
      <c r="F1059" t="s">
        <v>88</v>
      </c>
      <c r="G1059" t="s">
        <v>58</v>
      </c>
      <c r="H1059" t="s">
        <v>59</v>
      </c>
      <c r="I1059" s="3">
        <v>3034.3</v>
      </c>
      <c r="J1059">
        <v>2</v>
      </c>
      <c r="K1059" s="5">
        <v>0.05</v>
      </c>
      <c r="L1059" s="3">
        <v>350.13</v>
      </c>
      <c r="M1059" t="s">
        <v>49</v>
      </c>
      <c r="N1059">
        <f t="shared" si="32"/>
        <v>2025</v>
      </c>
      <c r="O1059" t="str">
        <f t="shared" si="33"/>
        <v>May</v>
      </c>
    </row>
    <row r="1060" spans="1:15" x14ac:dyDescent="0.2">
      <c r="A1060" t="s">
        <v>1169</v>
      </c>
      <c r="B1060" s="7">
        <v>45868</v>
      </c>
      <c r="C1060" t="s">
        <v>90</v>
      </c>
      <c r="D1060" t="s">
        <v>23</v>
      </c>
      <c r="E1060" t="s">
        <v>79</v>
      </c>
      <c r="F1060" t="s">
        <v>93</v>
      </c>
      <c r="G1060" t="s">
        <v>18</v>
      </c>
      <c r="H1060" t="s">
        <v>63</v>
      </c>
      <c r="I1060" s="3">
        <v>102166.2</v>
      </c>
      <c r="J1060">
        <v>2</v>
      </c>
      <c r="K1060" s="5">
        <v>0.1</v>
      </c>
      <c r="L1060" s="3">
        <v>24251.54</v>
      </c>
      <c r="M1060" t="s">
        <v>35</v>
      </c>
      <c r="N1060">
        <f t="shared" si="32"/>
        <v>2025</v>
      </c>
      <c r="O1060" t="str">
        <f t="shared" si="33"/>
        <v>July</v>
      </c>
    </row>
    <row r="1061" spans="1:15" x14ac:dyDescent="0.2">
      <c r="A1061" t="s">
        <v>1170</v>
      </c>
      <c r="B1061" s="7">
        <v>45678</v>
      </c>
      <c r="C1061" t="s">
        <v>37</v>
      </c>
      <c r="D1061" t="s">
        <v>15</v>
      </c>
      <c r="E1061" t="s">
        <v>61</v>
      </c>
      <c r="F1061" t="s">
        <v>62</v>
      </c>
      <c r="G1061" t="s">
        <v>33</v>
      </c>
      <c r="H1061" t="s">
        <v>34</v>
      </c>
      <c r="I1061" s="3">
        <v>3312.45</v>
      </c>
      <c r="J1061">
        <v>3</v>
      </c>
      <c r="K1061" s="5">
        <v>0.15</v>
      </c>
      <c r="L1061" s="3">
        <v>408.58</v>
      </c>
      <c r="M1061" t="s">
        <v>49</v>
      </c>
      <c r="N1061">
        <f t="shared" si="32"/>
        <v>2025</v>
      </c>
      <c r="O1061" t="str">
        <f t="shared" si="33"/>
        <v>January</v>
      </c>
    </row>
    <row r="1062" spans="1:15" x14ac:dyDescent="0.2">
      <c r="A1062" t="s">
        <v>1171</v>
      </c>
      <c r="B1062" s="7">
        <v>45586</v>
      </c>
      <c r="C1062" t="s">
        <v>14</v>
      </c>
      <c r="D1062" t="s">
        <v>23</v>
      </c>
      <c r="E1062" t="s">
        <v>38</v>
      </c>
      <c r="F1062" t="s">
        <v>39</v>
      </c>
      <c r="G1062" t="s">
        <v>18</v>
      </c>
      <c r="H1062" t="s">
        <v>19</v>
      </c>
      <c r="I1062" s="3">
        <v>279847.2</v>
      </c>
      <c r="J1062">
        <v>8</v>
      </c>
      <c r="K1062" s="5">
        <v>0.15</v>
      </c>
      <c r="L1062" s="3">
        <v>67431.27</v>
      </c>
      <c r="M1062" t="s">
        <v>35</v>
      </c>
      <c r="N1062">
        <f t="shared" si="32"/>
        <v>2024</v>
      </c>
      <c r="O1062" t="str">
        <f t="shared" si="33"/>
        <v>October</v>
      </c>
    </row>
    <row r="1063" spans="1:15" x14ac:dyDescent="0.2">
      <c r="A1063" t="s">
        <v>1172</v>
      </c>
      <c r="B1063" s="7">
        <v>45602</v>
      </c>
      <c r="C1063" t="s">
        <v>22</v>
      </c>
      <c r="D1063" t="s">
        <v>23</v>
      </c>
      <c r="E1063" t="s">
        <v>24</v>
      </c>
      <c r="F1063" t="s">
        <v>25</v>
      </c>
      <c r="G1063" t="s">
        <v>18</v>
      </c>
      <c r="H1063" t="s">
        <v>19</v>
      </c>
      <c r="I1063" s="3">
        <v>103689.60000000001</v>
      </c>
      <c r="J1063">
        <v>3</v>
      </c>
      <c r="K1063" s="5">
        <v>0.2</v>
      </c>
      <c r="L1063" s="3">
        <v>3690.58</v>
      </c>
      <c r="M1063" t="s">
        <v>40</v>
      </c>
      <c r="N1063">
        <f t="shared" si="32"/>
        <v>2024</v>
      </c>
      <c r="O1063" t="str">
        <f t="shared" si="33"/>
        <v>November</v>
      </c>
    </row>
    <row r="1064" spans="1:15" x14ac:dyDescent="0.2">
      <c r="A1064" t="s">
        <v>1173</v>
      </c>
      <c r="B1064" s="7">
        <v>45482</v>
      </c>
      <c r="C1064" t="s">
        <v>76</v>
      </c>
      <c r="D1064" t="s">
        <v>30</v>
      </c>
      <c r="E1064" t="s">
        <v>72</v>
      </c>
      <c r="F1064" t="s">
        <v>73</v>
      </c>
      <c r="G1064" t="s">
        <v>18</v>
      </c>
      <c r="H1064" t="s">
        <v>63</v>
      </c>
      <c r="I1064" s="3">
        <v>36910.35</v>
      </c>
      <c r="J1064">
        <v>3</v>
      </c>
      <c r="K1064" s="5">
        <v>0.05</v>
      </c>
      <c r="L1064" s="3">
        <v>3219.7</v>
      </c>
      <c r="M1064" t="s">
        <v>27</v>
      </c>
      <c r="N1064">
        <f t="shared" si="32"/>
        <v>2024</v>
      </c>
      <c r="O1064" t="str">
        <f t="shared" si="33"/>
        <v>July</v>
      </c>
    </row>
    <row r="1065" spans="1:15" x14ac:dyDescent="0.2">
      <c r="A1065" t="s">
        <v>1174</v>
      </c>
      <c r="B1065" s="7">
        <v>45296</v>
      </c>
      <c r="C1065" t="s">
        <v>76</v>
      </c>
      <c r="D1065" t="s">
        <v>23</v>
      </c>
      <c r="E1065" t="s">
        <v>24</v>
      </c>
      <c r="F1065" t="s">
        <v>25</v>
      </c>
      <c r="G1065" t="s">
        <v>58</v>
      </c>
      <c r="H1065" t="s">
        <v>74</v>
      </c>
      <c r="I1065" s="3">
        <v>4164</v>
      </c>
      <c r="J1065">
        <v>1</v>
      </c>
      <c r="K1065" s="5">
        <v>0</v>
      </c>
      <c r="L1065" s="3">
        <v>1102.8900000000001</v>
      </c>
      <c r="M1065" t="s">
        <v>27</v>
      </c>
      <c r="N1065">
        <f t="shared" si="32"/>
        <v>2024</v>
      </c>
      <c r="O1065" t="str">
        <f t="shared" si="33"/>
        <v>January</v>
      </c>
    </row>
    <row r="1066" spans="1:15" x14ac:dyDescent="0.2">
      <c r="A1066" t="s">
        <v>1175</v>
      </c>
      <c r="B1066" s="7">
        <v>45724</v>
      </c>
      <c r="C1066" t="s">
        <v>90</v>
      </c>
      <c r="D1066" t="s">
        <v>23</v>
      </c>
      <c r="E1066" t="s">
        <v>38</v>
      </c>
      <c r="F1066" t="s">
        <v>91</v>
      </c>
      <c r="G1066" t="s">
        <v>33</v>
      </c>
      <c r="H1066" t="s">
        <v>34</v>
      </c>
      <c r="I1066" s="3">
        <v>9134.4</v>
      </c>
      <c r="J1066">
        <v>1</v>
      </c>
      <c r="K1066" s="5">
        <v>0.2</v>
      </c>
      <c r="L1066" s="3">
        <v>1495.36</v>
      </c>
      <c r="M1066" t="s">
        <v>27</v>
      </c>
      <c r="N1066">
        <f t="shared" si="32"/>
        <v>2025</v>
      </c>
      <c r="O1066" t="str">
        <f t="shared" si="33"/>
        <v>March</v>
      </c>
    </row>
    <row r="1067" spans="1:15" x14ac:dyDescent="0.2">
      <c r="A1067" t="s">
        <v>1176</v>
      </c>
      <c r="B1067" s="7">
        <v>45302</v>
      </c>
      <c r="C1067" t="s">
        <v>22</v>
      </c>
      <c r="D1067" t="s">
        <v>23</v>
      </c>
      <c r="E1067" t="s">
        <v>79</v>
      </c>
      <c r="F1067" t="s">
        <v>80</v>
      </c>
      <c r="G1067" t="s">
        <v>58</v>
      </c>
      <c r="H1067" t="s">
        <v>95</v>
      </c>
      <c r="I1067" s="3">
        <v>154194.25</v>
      </c>
      <c r="J1067">
        <v>7</v>
      </c>
      <c r="K1067" s="5">
        <v>0.15</v>
      </c>
      <c r="L1067" s="3">
        <v>14368.61</v>
      </c>
      <c r="M1067" t="s">
        <v>20</v>
      </c>
      <c r="N1067">
        <f t="shared" si="32"/>
        <v>2024</v>
      </c>
      <c r="O1067" t="str">
        <f t="shared" si="33"/>
        <v>January</v>
      </c>
    </row>
    <row r="1068" spans="1:15" x14ac:dyDescent="0.2">
      <c r="A1068" t="s">
        <v>1177</v>
      </c>
      <c r="B1068" s="7">
        <v>45627</v>
      </c>
      <c r="C1068" t="s">
        <v>55</v>
      </c>
      <c r="D1068" t="s">
        <v>15</v>
      </c>
      <c r="E1068" t="s">
        <v>61</v>
      </c>
      <c r="F1068" t="s">
        <v>111</v>
      </c>
      <c r="G1068" t="s">
        <v>33</v>
      </c>
      <c r="H1068" t="s">
        <v>48</v>
      </c>
      <c r="I1068" s="3">
        <v>4202</v>
      </c>
      <c r="J1068">
        <v>2</v>
      </c>
      <c r="K1068" s="5">
        <v>0</v>
      </c>
      <c r="L1068" s="3">
        <v>490.25</v>
      </c>
      <c r="M1068" t="s">
        <v>27</v>
      </c>
      <c r="N1068">
        <f t="shared" si="32"/>
        <v>2024</v>
      </c>
      <c r="O1068" t="str">
        <f t="shared" si="33"/>
        <v>December</v>
      </c>
    </row>
    <row r="1069" spans="1:15" x14ac:dyDescent="0.2">
      <c r="A1069" t="s">
        <v>1178</v>
      </c>
      <c r="B1069" s="7">
        <v>45860</v>
      </c>
      <c r="C1069" t="s">
        <v>29</v>
      </c>
      <c r="D1069" t="s">
        <v>15</v>
      </c>
      <c r="E1069" t="s">
        <v>61</v>
      </c>
      <c r="F1069" t="s">
        <v>62</v>
      </c>
      <c r="G1069" t="s">
        <v>42</v>
      </c>
      <c r="H1069" t="s">
        <v>119</v>
      </c>
      <c r="I1069" s="3">
        <v>8155.75</v>
      </c>
      <c r="J1069">
        <v>5</v>
      </c>
      <c r="K1069" s="5">
        <v>0.05</v>
      </c>
      <c r="L1069" s="3">
        <v>2100.4499999999998</v>
      </c>
      <c r="M1069" t="s">
        <v>40</v>
      </c>
      <c r="N1069">
        <f t="shared" si="32"/>
        <v>2025</v>
      </c>
      <c r="O1069" t="str">
        <f t="shared" si="33"/>
        <v>July</v>
      </c>
    </row>
    <row r="1070" spans="1:15" x14ac:dyDescent="0.2">
      <c r="A1070" t="s">
        <v>1179</v>
      </c>
      <c r="B1070" s="7">
        <v>46002</v>
      </c>
      <c r="C1070" t="s">
        <v>37</v>
      </c>
      <c r="D1070" t="s">
        <v>23</v>
      </c>
      <c r="E1070" t="s">
        <v>172</v>
      </c>
      <c r="F1070" t="s">
        <v>210</v>
      </c>
      <c r="G1070" t="s">
        <v>18</v>
      </c>
      <c r="H1070" t="s">
        <v>63</v>
      </c>
      <c r="I1070" s="3">
        <v>14451.7</v>
      </c>
      <c r="J1070">
        <v>2</v>
      </c>
      <c r="K1070" s="5">
        <v>0.15</v>
      </c>
      <c r="L1070" s="3">
        <v>1147.4000000000001</v>
      </c>
      <c r="M1070" t="s">
        <v>40</v>
      </c>
      <c r="N1070">
        <f t="shared" si="32"/>
        <v>2025</v>
      </c>
      <c r="O1070" t="str">
        <f t="shared" si="33"/>
        <v>December</v>
      </c>
    </row>
    <row r="1071" spans="1:15" x14ac:dyDescent="0.2">
      <c r="A1071" t="s">
        <v>1180</v>
      </c>
      <c r="B1071" s="7">
        <v>45617</v>
      </c>
      <c r="C1071" t="s">
        <v>14</v>
      </c>
      <c r="D1071" t="s">
        <v>30</v>
      </c>
      <c r="E1071" t="s">
        <v>72</v>
      </c>
      <c r="F1071" t="s">
        <v>73</v>
      </c>
      <c r="G1071" t="s">
        <v>42</v>
      </c>
      <c r="H1071" t="s">
        <v>43</v>
      </c>
      <c r="I1071" s="3">
        <v>6113.25</v>
      </c>
      <c r="J1071">
        <v>3</v>
      </c>
      <c r="K1071" s="5">
        <v>0.05</v>
      </c>
      <c r="L1071" s="3">
        <v>1352.31</v>
      </c>
      <c r="M1071" t="s">
        <v>35</v>
      </c>
      <c r="N1071">
        <f t="shared" si="32"/>
        <v>2024</v>
      </c>
      <c r="O1071" t="str">
        <f t="shared" si="33"/>
        <v>November</v>
      </c>
    </row>
    <row r="1072" spans="1:15" x14ac:dyDescent="0.2">
      <c r="A1072" t="s">
        <v>1181</v>
      </c>
      <c r="B1072" s="7">
        <v>45590</v>
      </c>
      <c r="C1072" t="s">
        <v>51</v>
      </c>
      <c r="D1072" t="s">
        <v>23</v>
      </c>
      <c r="E1072" t="s">
        <v>24</v>
      </c>
      <c r="F1072" t="s">
        <v>77</v>
      </c>
      <c r="G1072" t="s">
        <v>42</v>
      </c>
      <c r="H1072" t="s">
        <v>119</v>
      </c>
      <c r="I1072" s="3">
        <v>160542.9</v>
      </c>
      <c r="J1072">
        <v>6</v>
      </c>
      <c r="K1072" s="5">
        <v>0.15</v>
      </c>
      <c r="L1072" s="3">
        <v>19025.439999999999</v>
      </c>
      <c r="M1072" t="s">
        <v>20</v>
      </c>
      <c r="N1072">
        <f t="shared" si="32"/>
        <v>2024</v>
      </c>
      <c r="O1072" t="str">
        <f t="shared" si="33"/>
        <v>October</v>
      </c>
    </row>
    <row r="1073" spans="1:15" x14ac:dyDescent="0.2">
      <c r="A1073" t="s">
        <v>1182</v>
      </c>
      <c r="B1073" s="7">
        <v>45586</v>
      </c>
      <c r="C1073" t="s">
        <v>51</v>
      </c>
      <c r="D1073" t="s">
        <v>23</v>
      </c>
      <c r="E1073" t="s">
        <v>24</v>
      </c>
      <c r="F1073" t="s">
        <v>25</v>
      </c>
      <c r="G1073" t="s">
        <v>33</v>
      </c>
      <c r="H1073" t="s">
        <v>34</v>
      </c>
      <c r="I1073" s="3">
        <v>21720.799999999999</v>
      </c>
      <c r="J1073">
        <v>8</v>
      </c>
      <c r="K1073" s="5">
        <v>0.05</v>
      </c>
      <c r="L1073" s="3">
        <v>4079.86</v>
      </c>
      <c r="M1073" t="s">
        <v>40</v>
      </c>
      <c r="N1073">
        <f t="shared" si="32"/>
        <v>2024</v>
      </c>
      <c r="O1073" t="str">
        <f t="shared" si="33"/>
        <v>October</v>
      </c>
    </row>
    <row r="1074" spans="1:15" x14ac:dyDescent="0.2">
      <c r="A1074" t="s">
        <v>1183</v>
      </c>
      <c r="B1074" s="7">
        <v>45465</v>
      </c>
      <c r="C1074" t="s">
        <v>45</v>
      </c>
      <c r="D1074" t="s">
        <v>23</v>
      </c>
      <c r="E1074" t="s">
        <v>172</v>
      </c>
      <c r="F1074" t="s">
        <v>182</v>
      </c>
      <c r="G1074" t="s">
        <v>42</v>
      </c>
      <c r="H1074" t="s">
        <v>102</v>
      </c>
      <c r="I1074" s="3">
        <v>56128</v>
      </c>
      <c r="J1074">
        <v>2</v>
      </c>
      <c r="K1074" s="5">
        <v>0</v>
      </c>
      <c r="L1074" s="3">
        <v>11434.24</v>
      </c>
      <c r="M1074" t="s">
        <v>27</v>
      </c>
      <c r="N1074">
        <f t="shared" si="32"/>
        <v>2024</v>
      </c>
      <c r="O1074" t="str">
        <f t="shared" si="33"/>
        <v>June</v>
      </c>
    </row>
    <row r="1075" spans="1:15" x14ac:dyDescent="0.2">
      <c r="A1075" t="s">
        <v>1184</v>
      </c>
      <c r="B1075" s="7">
        <v>45521</v>
      </c>
      <c r="C1075" t="s">
        <v>14</v>
      </c>
      <c r="D1075" t="s">
        <v>23</v>
      </c>
      <c r="E1075" t="s">
        <v>24</v>
      </c>
      <c r="F1075" t="s">
        <v>77</v>
      </c>
      <c r="G1075" t="s">
        <v>18</v>
      </c>
      <c r="H1075" t="s">
        <v>26</v>
      </c>
      <c r="I1075" s="3">
        <v>7974.4</v>
      </c>
      <c r="J1075">
        <v>7</v>
      </c>
      <c r="K1075" s="5">
        <v>0.2</v>
      </c>
      <c r="L1075" s="3">
        <v>430.05</v>
      </c>
      <c r="M1075" t="s">
        <v>35</v>
      </c>
      <c r="N1075">
        <f t="shared" si="32"/>
        <v>2024</v>
      </c>
      <c r="O1075" t="str">
        <f t="shared" si="33"/>
        <v>August</v>
      </c>
    </row>
    <row r="1076" spans="1:15" x14ac:dyDescent="0.2">
      <c r="A1076" t="s">
        <v>1185</v>
      </c>
      <c r="B1076" s="7">
        <v>45919</v>
      </c>
      <c r="C1076" t="s">
        <v>68</v>
      </c>
      <c r="D1076" t="s">
        <v>15</v>
      </c>
      <c r="E1076" t="s">
        <v>16</v>
      </c>
      <c r="F1076" t="s">
        <v>230</v>
      </c>
      <c r="G1076" t="s">
        <v>18</v>
      </c>
      <c r="H1076" t="s">
        <v>63</v>
      </c>
      <c r="I1076" s="3">
        <v>12907.65</v>
      </c>
      <c r="J1076">
        <v>7</v>
      </c>
      <c r="K1076" s="5">
        <v>0.05</v>
      </c>
      <c r="L1076" s="3">
        <v>2634.14</v>
      </c>
      <c r="M1076" t="s">
        <v>27</v>
      </c>
      <c r="N1076">
        <f t="shared" si="32"/>
        <v>2025</v>
      </c>
      <c r="O1076" t="str">
        <f t="shared" si="33"/>
        <v>September</v>
      </c>
    </row>
    <row r="1077" spans="1:15" x14ac:dyDescent="0.2">
      <c r="A1077" t="s">
        <v>1186</v>
      </c>
      <c r="B1077" s="7">
        <v>45689</v>
      </c>
      <c r="C1077" t="s">
        <v>68</v>
      </c>
      <c r="D1077" t="s">
        <v>15</v>
      </c>
      <c r="E1077" t="s">
        <v>61</v>
      </c>
      <c r="F1077" t="s">
        <v>62</v>
      </c>
      <c r="G1077" t="s">
        <v>58</v>
      </c>
      <c r="H1077" t="s">
        <v>74</v>
      </c>
      <c r="I1077" s="3">
        <v>7261.8</v>
      </c>
      <c r="J1077">
        <v>6</v>
      </c>
      <c r="K1077" s="5">
        <v>0.05</v>
      </c>
      <c r="L1077" s="3">
        <v>1888.85</v>
      </c>
      <c r="M1077" t="s">
        <v>40</v>
      </c>
      <c r="N1077">
        <f t="shared" si="32"/>
        <v>2025</v>
      </c>
      <c r="O1077" t="str">
        <f t="shared" si="33"/>
        <v>February</v>
      </c>
    </row>
    <row r="1078" spans="1:15" x14ac:dyDescent="0.2">
      <c r="A1078" t="s">
        <v>1187</v>
      </c>
      <c r="B1078" s="7">
        <v>45420</v>
      </c>
      <c r="C1078" t="s">
        <v>45</v>
      </c>
      <c r="D1078" t="s">
        <v>30</v>
      </c>
      <c r="E1078" t="s">
        <v>52</v>
      </c>
      <c r="F1078" t="s">
        <v>53</v>
      </c>
      <c r="G1078" t="s">
        <v>58</v>
      </c>
      <c r="H1078" t="s">
        <v>84</v>
      </c>
      <c r="I1078" s="3">
        <v>13534.65</v>
      </c>
      <c r="J1078">
        <v>1</v>
      </c>
      <c r="K1078" s="5">
        <v>0.05</v>
      </c>
      <c r="L1078" s="3">
        <v>3586.65</v>
      </c>
      <c r="M1078" t="s">
        <v>40</v>
      </c>
      <c r="N1078">
        <f t="shared" si="32"/>
        <v>2024</v>
      </c>
      <c r="O1078" t="str">
        <f t="shared" si="33"/>
        <v>May</v>
      </c>
    </row>
    <row r="1079" spans="1:15" x14ac:dyDescent="0.2">
      <c r="A1079" t="s">
        <v>1188</v>
      </c>
      <c r="B1079" s="7">
        <v>45973</v>
      </c>
      <c r="C1079" t="s">
        <v>22</v>
      </c>
      <c r="D1079" t="s">
        <v>30</v>
      </c>
      <c r="E1079" t="s">
        <v>122</v>
      </c>
      <c r="F1079" t="s">
        <v>123</v>
      </c>
      <c r="G1079" t="s">
        <v>58</v>
      </c>
      <c r="H1079" t="s">
        <v>59</v>
      </c>
      <c r="I1079" s="3">
        <v>97401.600000000006</v>
      </c>
      <c r="J1079">
        <v>8</v>
      </c>
      <c r="K1079" s="5">
        <v>0.1</v>
      </c>
      <c r="L1079" s="3">
        <v>11937.57</v>
      </c>
      <c r="M1079" t="s">
        <v>40</v>
      </c>
      <c r="N1079">
        <f t="shared" si="32"/>
        <v>2025</v>
      </c>
      <c r="O1079" t="str">
        <f t="shared" si="33"/>
        <v>November</v>
      </c>
    </row>
    <row r="1080" spans="1:15" x14ac:dyDescent="0.2">
      <c r="A1080" t="s">
        <v>1189</v>
      </c>
      <c r="B1080" s="7">
        <v>45710</v>
      </c>
      <c r="C1080" t="s">
        <v>45</v>
      </c>
      <c r="D1080" t="s">
        <v>15</v>
      </c>
      <c r="E1080" t="s">
        <v>56</v>
      </c>
      <c r="F1080" t="s">
        <v>88</v>
      </c>
      <c r="G1080" t="s">
        <v>33</v>
      </c>
      <c r="H1080" t="s">
        <v>48</v>
      </c>
      <c r="I1080" s="3">
        <v>5399.2</v>
      </c>
      <c r="J1080">
        <v>4</v>
      </c>
      <c r="K1080" s="5">
        <v>0.15</v>
      </c>
      <c r="L1080" s="3">
        <v>821.44</v>
      </c>
      <c r="M1080" t="s">
        <v>27</v>
      </c>
      <c r="N1080">
        <f t="shared" si="32"/>
        <v>2025</v>
      </c>
      <c r="O1080" t="str">
        <f t="shared" si="33"/>
        <v>February</v>
      </c>
    </row>
    <row r="1081" spans="1:15" x14ac:dyDescent="0.2">
      <c r="A1081" t="s">
        <v>1190</v>
      </c>
      <c r="B1081" s="7">
        <v>45856</v>
      </c>
      <c r="C1081" t="s">
        <v>55</v>
      </c>
      <c r="D1081" t="s">
        <v>23</v>
      </c>
      <c r="E1081" t="s">
        <v>38</v>
      </c>
      <c r="F1081" t="s">
        <v>140</v>
      </c>
      <c r="G1081" t="s">
        <v>33</v>
      </c>
      <c r="H1081" t="s">
        <v>109</v>
      </c>
      <c r="I1081" s="3">
        <v>158695.6</v>
      </c>
      <c r="J1081">
        <v>8</v>
      </c>
      <c r="K1081" s="5">
        <v>0.05</v>
      </c>
      <c r="L1081" s="3">
        <v>17605</v>
      </c>
      <c r="M1081" t="s">
        <v>49</v>
      </c>
      <c r="N1081">
        <f t="shared" si="32"/>
        <v>2025</v>
      </c>
      <c r="O1081" t="str">
        <f t="shared" si="33"/>
        <v>July</v>
      </c>
    </row>
    <row r="1082" spans="1:15" x14ac:dyDescent="0.2">
      <c r="A1082" t="s">
        <v>1191</v>
      </c>
      <c r="B1082" s="7">
        <v>45948</v>
      </c>
      <c r="C1082" t="s">
        <v>22</v>
      </c>
      <c r="D1082" t="s">
        <v>15</v>
      </c>
      <c r="E1082" t="s">
        <v>61</v>
      </c>
      <c r="F1082" t="s">
        <v>111</v>
      </c>
      <c r="G1082" t="s">
        <v>33</v>
      </c>
      <c r="H1082" t="s">
        <v>109</v>
      </c>
      <c r="I1082" s="3">
        <v>3900.8</v>
      </c>
      <c r="J1082">
        <v>4</v>
      </c>
      <c r="K1082" s="5">
        <v>0.2</v>
      </c>
      <c r="L1082" s="3">
        <v>717.15</v>
      </c>
      <c r="M1082" t="s">
        <v>35</v>
      </c>
      <c r="N1082">
        <f t="shared" si="32"/>
        <v>2025</v>
      </c>
      <c r="O1082" t="str">
        <f t="shared" si="33"/>
        <v>October</v>
      </c>
    </row>
    <row r="1083" spans="1:15" x14ac:dyDescent="0.2">
      <c r="A1083" t="s">
        <v>1192</v>
      </c>
      <c r="B1083" s="7">
        <v>45919</v>
      </c>
      <c r="C1083" t="s">
        <v>51</v>
      </c>
      <c r="D1083" t="s">
        <v>23</v>
      </c>
      <c r="E1083" t="s">
        <v>24</v>
      </c>
      <c r="F1083" t="s">
        <v>86</v>
      </c>
      <c r="G1083" t="s">
        <v>58</v>
      </c>
      <c r="H1083" t="s">
        <v>84</v>
      </c>
      <c r="I1083" s="3">
        <v>209113.2</v>
      </c>
      <c r="J1083">
        <v>4</v>
      </c>
      <c r="K1083" s="5">
        <v>0.1</v>
      </c>
      <c r="L1083" s="3">
        <v>37028.01</v>
      </c>
      <c r="M1083" t="s">
        <v>20</v>
      </c>
      <c r="N1083">
        <f t="shared" si="32"/>
        <v>2025</v>
      </c>
      <c r="O1083" t="str">
        <f t="shared" si="33"/>
        <v>September</v>
      </c>
    </row>
    <row r="1084" spans="1:15" x14ac:dyDescent="0.2">
      <c r="A1084" t="s">
        <v>1193</v>
      </c>
      <c r="B1084" s="7">
        <v>45657</v>
      </c>
      <c r="C1084" t="s">
        <v>76</v>
      </c>
      <c r="D1084" t="s">
        <v>15</v>
      </c>
      <c r="E1084" t="s">
        <v>16</v>
      </c>
      <c r="F1084" t="s">
        <v>17</v>
      </c>
      <c r="G1084" t="s">
        <v>18</v>
      </c>
      <c r="H1084" t="s">
        <v>70</v>
      </c>
      <c r="I1084" s="3">
        <v>1457</v>
      </c>
      <c r="J1084">
        <v>1</v>
      </c>
      <c r="K1084" s="5">
        <v>0</v>
      </c>
      <c r="L1084" s="3">
        <v>207.85</v>
      </c>
      <c r="M1084" t="s">
        <v>40</v>
      </c>
      <c r="N1084">
        <f t="shared" si="32"/>
        <v>2024</v>
      </c>
      <c r="O1084" t="str">
        <f t="shared" si="33"/>
        <v>December</v>
      </c>
    </row>
    <row r="1085" spans="1:15" x14ac:dyDescent="0.2">
      <c r="A1085" t="s">
        <v>1194</v>
      </c>
      <c r="B1085" s="7">
        <v>45588</v>
      </c>
      <c r="C1085" t="s">
        <v>68</v>
      </c>
      <c r="D1085" t="s">
        <v>23</v>
      </c>
      <c r="E1085" t="s">
        <v>79</v>
      </c>
      <c r="F1085" t="s">
        <v>93</v>
      </c>
      <c r="G1085" t="s">
        <v>18</v>
      </c>
      <c r="H1085" t="s">
        <v>19</v>
      </c>
      <c r="I1085" s="3">
        <v>212954.4</v>
      </c>
      <c r="J1085">
        <v>6</v>
      </c>
      <c r="K1085" s="5">
        <v>0.1</v>
      </c>
      <c r="L1085" s="3">
        <v>41679.57</v>
      </c>
      <c r="M1085" t="s">
        <v>20</v>
      </c>
      <c r="N1085">
        <f t="shared" si="32"/>
        <v>2024</v>
      </c>
      <c r="O1085" t="str">
        <f t="shared" si="33"/>
        <v>October</v>
      </c>
    </row>
    <row r="1086" spans="1:15" x14ac:dyDescent="0.2">
      <c r="A1086" t="s">
        <v>1195</v>
      </c>
      <c r="B1086" s="7">
        <v>45772</v>
      </c>
      <c r="C1086" t="s">
        <v>68</v>
      </c>
      <c r="D1086" t="s">
        <v>15</v>
      </c>
      <c r="E1086" t="s">
        <v>46</v>
      </c>
      <c r="F1086" t="s">
        <v>47</v>
      </c>
      <c r="G1086" t="s">
        <v>33</v>
      </c>
      <c r="H1086" t="s">
        <v>48</v>
      </c>
      <c r="I1086" s="3">
        <v>1196.8</v>
      </c>
      <c r="J1086">
        <v>2</v>
      </c>
      <c r="K1086" s="5">
        <v>0.2</v>
      </c>
      <c r="L1086" s="3">
        <v>168.11</v>
      </c>
      <c r="M1086" t="s">
        <v>40</v>
      </c>
      <c r="N1086">
        <f t="shared" si="32"/>
        <v>2025</v>
      </c>
      <c r="O1086" t="str">
        <f t="shared" si="33"/>
        <v>April</v>
      </c>
    </row>
    <row r="1087" spans="1:15" x14ac:dyDescent="0.2">
      <c r="A1087" t="s">
        <v>1196</v>
      </c>
      <c r="B1087" s="7">
        <v>45312</v>
      </c>
      <c r="C1087" t="s">
        <v>90</v>
      </c>
      <c r="D1087" t="s">
        <v>23</v>
      </c>
      <c r="E1087" t="s">
        <v>24</v>
      </c>
      <c r="F1087" t="s">
        <v>77</v>
      </c>
      <c r="G1087" t="s">
        <v>58</v>
      </c>
      <c r="H1087" t="s">
        <v>95</v>
      </c>
      <c r="I1087" s="3">
        <v>150159.29999999999</v>
      </c>
      <c r="J1087">
        <v>3</v>
      </c>
      <c r="K1087" s="5">
        <v>0.15</v>
      </c>
      <c r="L1087" s="3">
        <v>20703.36</v>
      </c>
      <c r="M1087" t="s">
        <v>27</v>
      </c>
      <c r="N1087">
        <f t="shared" si="32"/>
        <v>2024</v>
      </c>
      <c r="O1087" t="str">
        <f t="shared" si="33"/>
        <v>January</v>
      </c>
    </row>
    <row r="1088" spans="1:15" x14ac:dyDescent="0.2">
      <c r="A1088" t="s">
        <v>1197</v>
      </c>
      <c r="B1088" s="7">
        <v>45362</v>
      </c>
      <c r="C1088" t="s">
        <v>55</v>
      </c>
      <c r="D1088" t="s">
        <v>30</v>
      </c>
      <c r="E1088" t="s">
        <v>72</v>
      </c>
      <c r="F1088" t="s">
        <v>217</v>
      </c>
      <c r="G1088" t="s">
        <v>33</v>
      </c>
      <c r="H1088" t="s">
        <v>109</v>
      </c>
      <c r="I1088" s="3">
        <v>96528</v>
      </c>
      <c r="J1088">
        <v>8</v>
      </c>
      <c r="K1088" s="5">
        <v>0</v>
      </c>
      <c r="L1088" s="3">
        <v>24836.47</v>
      </c>
      <c r="M1088" t="s">
        <v>40</v>
      </c>
      <c r="N1088">
        <f t="shared" si="32"/>
        <v>2024</v>
      </c>
      <c r="O1088" t="str">
        <f t="shared" si="33"/>
        <v>March</v>
      </c>
    </row>
    <row r="1089" spans="1:15" x14ac:dyDescent="0.2">
      <c r="A1089" t="s">
        <v>1198</v>
      </c>
      <c r="B1089" s="7">
        <v>45798</v>
      </c>
      <c r="C1089" t="s">
        <v>14</v>
      </c>
      <c r="D1089" t="s">
        <v>15</v>
      </c>
      <c r="E1089" t="s">
        <v>65</v>
      </c>
      <c r="F1089" t="s">
        <v>147</v>
      </c>
      <c r="G1089" t="s">
        <v>58</v>
      </c>
      <c r="H1089" t="s">
        <v>74</v>
      </c>
      <c r="I1089" s="3">
        <v>5188</v>
      </c>
      <c r="J1089">
        <v>4</v>
      </c>
      <c r="K1089" s="5">
        <v>0</v>
      </c>
      <c r="L1089" s="3">
        <v>783.09</v>
      </c>
      <c r="M1089" t="s">
        <v>35</v>
      </c>
      <c r="N1089">
        <f t="shared" si="32"/>
        <v>2025</v>
      </c>
      <c r="O1089" t="str">
        <f t="shared" si="33"/>
        <v>May</v>
      </c>
    </row>
    <row r="1090" spans="1:15" x14ac:dyDescent="0.2">
      <c r="A1090" t="s">
        <v>1199</v>
      </c>
      <c r="B1090" s="7">
        <v>45462</v>
      </c>
      <c r="C1090" t="s">
        <v>14</v>
      </c>
      <c r="D1090" t="s">
        <v>15</v>
      </c>
      <c r="E1090" t="s">
        <v>61</v>
      </c>
      <c r="F1090" t="s">
        <v>62</v>
      </c>
      <c r="G1090" t="s">
        <v>33</v>
      </c>
      <c r="H1090" t="s">
        <v>34</v>
      </c>
      <c r="I1090" s="3">
        <v>8924</v>
      </c>
      <c r="J1090">
        <v>4</v>
      </c>
      <c r="K1090" s="5">
        <v>0</v>
      </c>
      <c r="L1090" s="3">
        <v>1587.77</v>
      </c>
      <c r="M1090" t="s">
        <v>40</v>
      </c>
      <c r="N1090">
        <f t="shared" ref="N1090:N1153" si="34">YEAR(B1090)</f>
        <v>2024</v>
      </c>
      <c r="O1090" t="str">
        <f t="shared" ref="O1090:O1153" si="35">TEXT(B1090,"mmmm")</f>
        <v>June</v>
      </c>
    </row>
    <row r="1091" spans="1:15" x14ac:dyDescent="0.2">
      <c r="A1091" t="s">
        <v>1200</v>
      </c>
      <c r="B1091" s="7">
        <v>45324</v>
      </c>
      <c r="C1091" t="s">
        <v>55</v>
      </c>
      <c r="D1091" t="s">
        <v>15</v>
      </c>
      <c r="E1091" t="s">
        <v>65</v>
      </c>
      <c r="F1091" t="s">
        <v>66</v>
      </c>
      <c r="G1091" t="s">
        <v>42</v>
      </c>
      <c r="H1091" t="s">
        <v>43</v>
      </c>
      <c r="I1091" s="3">
        <v>11856</v>
      </c>
      <c r="J1091">
        <v>6</v>
      </c>
      <c r="K1091" s="5">
        <v>0</v>
      </c>
      <c r="L1091" s="3">
        <v>1737.9</v>
      </c>
      <c r="M1091" t="s">
        <v>35</v>
      </c>
      <c r="N1091">
        <f t="shared" si="34"/>
        <v>2024</v>
      </c>
      <c r="O1091" t="str">
        <f t="shared" si="35"/>
        <v>February</v>
      </c>
    </row>
    <row r="1092" spans="1:15" x14ac:dyDescent="0.2">
      <c r="A1092" t="s">
        <v>1201</v>
      </c>
      <c r="B1092" s="7">
        <v>45980</v>
      </c>
      <c r="C1092" t="s">
        <v>68</v>
      </c>
      <c r="D1092" t="s">
        <v>23</v>
      </c>
      <c r="E1092" t="s">
        <v>172</v>
      </c>
      <c r="F1092" t="s">
        <v>210</v>
      </c>
      <c r="G1092" t="s">
        <v>18</v>
      </c>
      <c r="H1092" t="s">
        <v>19</v>
      </c>
      <c r="I1092" s="3">
        <v>205628.6</v>
      </c>
      <c r="J1092">
        <v>4</v>
      </c>
      <c r="K1092" s="5">
        <v>0.15</v>
      </c>
      <c r="L1092" s="3">
        <v>10219.049999999999</v>
      </c>
      <c r="M1092" t="s">
        <v>49</v>
      </c>
      <c r="N1092">
        <f t="shared" si="34"/>
        <v>2025</v>
      </c>
      <c r="O1092" t="str">
        <f t="shared" si="35"/>
        <v>November</v>
      </c>
    </row>
    <row r="1093" spans="1:15" x14ac:dyDescent="0.2">
      <c r="A1093" t="s">
        <v>1202</v>
      </c>
      <c r="B1093" s="7">
        <v>45580</v>
      </c>
      <c r="C1093" t="s">
        <v>68</v>
      </c>
      <c r="D1093" t="s">
        <v>30</v>
      </c>
      <c r="E1093" t="s">
        <v>104</v>
      </c>
      <c r="F1093" t="s">
        <v>170</v>
      </c>
      <c r="G1093" t="s">
        <v>58</v>
      </c>
      <c r="H1093" t="s">
        <v>59</v>
      </c>
      <c r="I1093" s="3">
        <v>58296</v>
      </c>
      <c r="J1093">
        <v>6</v>
      </c>
      <c r="K1093" s="5">
        <v>0.2</v>
      </c>
      <c r="L1093" s="3">
        <v>3997.98</v>
      </c>
      <c r="M1093" t="s">
        <v>20</v>
      </c>
      <c r="N1093">
        <f t="shared" si="34"/>
        <v>2024</v>
      </c>
      <c r="O1093" t="str">
        <f t="shared" si="35"/>
        <v>October</v>
      </c>
    </row>
    <row r="1094" spans="1:15" x14ac:dyDescent="0.2">
      <c r="A1094" t="s">
        <v>1203</v>
      </c>
      <c r="B1094" s="7">
        <v>45358</v>
      </c>
      <c r="C1094" t="s">
        <v>55</v>
      </c>
      <c r="D1094" t="s">
        <v>30</v>
      </c>
      <c r="E1094" t="s">
        <v>52</v>
      </c>
      <c r="F1094" t="s">
        <v>53</v>
      </c>
      <c r="G1094" t="s">
        <v>42</v>
      </c>
      <c r="H1094" t="s">
        <v>102</v>
      </c>
      <c r="I1094" s="3">
        <v>12921</v>
      </c>
      <c r="J1094">
        <v>3</v>
      </c>
      <c r="K1094" s="5">
        <v>0</v>
      </c>
      <c r="L1094" s="3">
        <v>1491.36</v>
      </c>
      <c r="M1094" t="s">
        <v>35</v>
      </c>
      <c r="N1094">
        <f t="shared" si="34"/>
        <v>2024</v>
      </c>
      <c r="O1094" t="str">
        <f t="shared" si="35"/>
        <v>March</v>
      </c>
    </row>
    <row r="1095" spans="1:15" x14ac:dyDescent="0.2">
      <c r="A1095" t="s">
        <v>1204</v>
      </c>
      <c r="B1095" s="7">
        <v>45763</v>
      </c>
      <c r="C1095" t="s">
        <v>45</v>
      </c>
      <c r="D1095" t="s">
        <v>23</v>
      </c>
      <c r="E1095" t="s">
        <v>82</v>
      </c>
      <c r="F1095" t="s">
        <v>240</v>
      </c>
      <c r="G1095" t="s">
        <v>18</v>
      </c>
      <c r="H1095" t="s">
        <v>70</v>
      </c>
      <c r="I1095" s="3">
        <v>46993.65</v>
      </c>
      <c r="J1095">
        <v>1</v>
      </c>
      <c r="K1095" s="5">
        <v>0.05</v>
      </c>
      <c r="L1095" s="3">
        <v>8649.23</v>
      </c>
      <c r="M1095" t="s">
        <v>20</v>
      </c>
      <c r="N1095">
        <f t="shared" si="34"/>
        <v>2025</v>
      </c>
      <c r="O1095" t="str">
        <f t="shared" si="35"/>
        <v>April</v>
      </c>
    </row>
    <row r="1096" spans="1:15" x14ac:dyDescent="0.2">
      <c r="A1096" t="s">
        <v>1205</v>
      </c>
      <c r="B1096" s="7">
        <v>45994</v>
      </c>
      <c r="C1096" t="s">
        <v>76</v>
      </c>
      <c r="D1096" t="s">
        <v>15</v>
      </c>
      <c r="E1096" t="s">
        <v>16</v>
      </c>
      <c r="F1096" t="s">
        <v>17</v>
      </c>
      <c r="G1096" t="s">
        <v>18</v>
      </c>
      <c r="H1096" t="s">
        <v>26</v>
      </c>
      <c r="I1096" s="3">
        <v>950</v>
      </c>
      <c r="J1096">
        <v>2</v>
      </c>
      <c r="K1096" s="5">
        <v>0</v>
      </c>
      <c r="L1096" s="3">
        <v>158.26</v>
      </c>
      <c r="M1096" t="s">
        <v>40</v>
      </c>
      <c r="N1096">
        <f t="shared" si="34"/>
        <v>2025</v>
      </c>
      <c r="O1096" t="str">
        <f t="shared" si="35"/>
        <v>December</v>
      </c>
    </row>
    <row r="1097" spans="1:15" x14ac:dyDescent="0.2">
      <c r="A1097" t="s">
        <v>1206</v>
      </c>
      <c r="B1097" s="7">
        <v>45772</v>
      </c>
      <c r="C1097" t="s">
        <v>68</v>
      </c>
      <c r="D1097" t="s">
        <v>23</v>
      </c>
      <c r="E1097" t="s">
        <v>82</v>
      </c>
      <c r="F1097" t="s">
        <v>240</v>
      </c>
      <c r="G1097" t="s">
        <v>58</v>
      </c>
      <c r="H1097" t="s">
        <v>84</v>
      </c>
      <c r="I1097" s="3">
        <v>103673.60000000001</v>
      </c>
      <c r="J1097">
        <v>4</v>
      </c>
      <c r="K1097" s="5">
        <v>0.2</v>
      </c>
      <c r="L1097" s="3">
        <v>17754.599999999999</v>
      </c>
      <c r="M1097" t="s">
        <v>35</v>
      </c>
      <c r="N1097">
        <f t="shared" si="34"/>
        <v>2025</v>
      </c>
      <c r="O1097" t="str">
        <f t="shared" si="35"/>
        <v>April</v>
      </c>
    </row>
    <row r="1098" spans="1:15" x14ac:dyDescent="0.2">
      <c r="A1098" t="s">
        <v>1207</v>
      </c>
      <c r="B1098" s="7">
        <v>45485</v>
      </c>
      <c r="C1098" t="s">
        <v>37</v>
      </c>
      <c r="D1098" t="s">
        <v>23</v>
      </c>
      <c r="E1098" t="s">
        <v>38</v>
      </c>
      <c r="F1098" t="s">
        <v>140</v>
      </c>
      <c r="G1098" t="s">
        <v>33</v>
      </c>
      <c r="H1098" t="s">
        <v>128</v>
      </c>
      <c r="I1098" s="3">
        <v>33976.800000000003</v>
      </c>
      <c r="J1098">
        <v>3</v>
      </c>
      <c r="K1098" s="5">
        <v>0.2</v>
      </c>
      <c r="L1098" s="3">
        <v>4929.59</v>
      </c>
      <c r="M1098" t="s">
        <v>20</v>
      </c>
      <c r="N1098">
        <f t="shared" si="34"/>
        <v>2024</v>
      </c>
      <c r="O1098" t="str">
        <f t="shared" si="35"/>
        <v>July</v>
      </c>
    </row>
    <row r="1099" spans="1:15" x14ac:dyDescent="0.2">
      <c r="A1099" t="s">
        <v>1208</v>
      </c>
      <c r="B1099" s="7">
        <v>45515</v>
      </c>
      <c r="C1099" t="s">
        <v>22</v>
      </c>
      <c r="D1099" t="s">
        <v>23</v>
      </c>
      <c r="E1099" t="s">
        <v>24</v>
      </c>
      <c r="F1099" t="s">
        <v>77</v>
      </c>
      <c r="G1099" t="s">
        <v>42</v>
      </c>
      <c r="H1099" t="s">
        <v>98</v>
      </c>
      <c r="I1099" s="3">
        <v>239870.4</v>
      </c>
      <c r="J1099">
        <v>7</v>
      </c>
      <c r="K1099" s="5">
        <v>0.2</v>
      </c>
      <c r="L1099" s="3">
        <v>37928.07</v>
      </c>
      <c r="M1099" t="s">
        <v>27</v>
      </c>
      <c r="N1099">
        <f t="shared" si="34"/>
        <v>2024</v>
      </c>
      <c r="O1099" t="str">
        <f t="shared" si="35"/>
        <v>August</v>
      </c>
    </row>
    <row r="1100" spans="1:15" x14ac:dyDescent="0.2">
      <c r="A1100" t="s">
        <v>1209</v>
      </c>
      <c r="B1100" s="7">
        <v>45353</v>
      </c>
      <c r="C1100" t="s">
        <v>90</v>
      </c>
      <c r="D1100" t="s">
        <v>30</v>
      </c>
      <c r="E1100" t="s">
        <v>31</v>
      </c>
      <c r="F1100" t="s">
        <v>97</v>
      </c>
      <c r="G1100" t="s">
        <v>18</v>
      </c>
      <c r="H1100" t="s">
        <v>19</v>
      </c>
      <c r="I1100" s="3">
        <v>7188.45</v>
      </c>
      <c r="J1100">
        <v>3</v>
      </c>
      <c r="K1100" s="5">
        <v>0.15</v>
      </c>
      <c r="L1100" s="3">
        <v>800.4</v>
      </c>
      <c r="M1100" t="s">
        <v>49</v>
      </c>
      <c r="N1100">
        <f t="shared" si="34"/>
        <v>2024</v>
      </c>
      <c r="O1100" t="str">
        <f t="shared" si="35"/>
        <v>March</v>
      </c>
    </row>
    <row r="1101" spans="1:15" x14ac:dyDescent="0.2">
      <c r="A1101" t="s">
        <v>1210</v>
      </c>
      <c r="B1101" s="7">
        <v>45618</v>
      </c>
      <c r="C1101" t="s">
        <v>29</v>
      </c>
      <c r="D1101" t="s">
        <v>23</v>
      </c>
      <c r="E1101" t="s">
        <v>38</v>
      </c>
      <c r="F1101" t="s">
        <v>91</v>
      </c>
      <c r="G1101" t="s">
        <v>18</v>
      </c>
      <c r="H1101" t="s">
        <v>70</v>
      </c>
      <c r="I1101" s="3">
        <v>253524.6</v>
      </c>
      <c r="J1101">
        <v>6</v>
      </c>
      <c r="K1101" s="5">
        <v>0.1</v>
      </c>
      <c r="L1101" s="3">
        <v>50813.88</v>
      </c>
      <c r="M1101" t="s">
        <v>27</v>
      </c>
      <c r="N1101">
        <f t="shared" si="34"/>
        <v>2024</v>
      </c>
      <c r="O1101" t="str">
        <f t="shared" si="35"/>
        <v>November</v>
      </c>
    </row>
    <row r="1102" spans="1:15" x14ac:dyDescent="0.2">
      <c r="A1102" t="s">
        <v>1211</v>
      </c>
      <c r="B1102" s="7">
        <v>45999</v>
      </c>
      <c r="C1102" t="s">
        <v>45</v>
      </c>
      <c r="D1102" t="s">
        <v>15</v>
      </c>
      <c r="E1102" t="s">
        <v>61</v>
      </c>
      <c r="F1102" t="s">
        <v>62</v>
      </c>
      <c r="G1102" t="s">
        <v>42</v>
      </c>
      <c r="H1102" t="s">
        <v>43</v>
      </c>
      <c r="I1102" s="3">
        <v>6617.6</v>
      </c>
      <c r="J1102">
        <v>8</v>
      </c>
      <c r="K1102" s="5">
        <v>0.2</v>
      </c>
      <c r="L1102" s="3">
        <v>424.26</v>
      </c>
      <c r="M1102" t="s">
        <v>49</v>
      </c>
      <c r="N1102">
        <f t="shared" si="34"/>
        <v>2025</v>
      </c>
      <c r="O1102" t="str">
        <f t="shared" si="35"/>
        <v>December</v>
      </c>
    </row>
    <row r="1103" spans="1:15" x14ac:dyDescent="0.2">
      <c r="A1103" t="s">
        <v>1212</v>
      </c>
      <c r="B1103" s="7">
        <v>45317</v>
      </c>
      <c r="C1103" t="s">
        <v>55</v>
      </c>
      <c r="D1103" t="s">
        <v>30</v>
      </c>
      <c r="E1103" t="s">
        <v>122</v>
      </c>
      <c r="F1103" t="s">
        <v>160</v>
      </c>
      <c r="G1103" t="s">
        <v>42</v>
      </c>
      <c r="H1103" t="s">
        <v>43</v>
      </c>
      <c r="I1103" s="3">
        <v>39460.400000000001</v>
      </c>
      <c r="J1103">
        <v>8</v>
      </c>
      <c r="K1103" s="5">
        <v>0.15</v>
      </c>
      <c r="L1103" s="3">
        <v>4988.5600000000004</v>
      </c>
      <c r="M1103" t="s">
        <v>27</v>
      </c>
      <c r="N1103">
        <f t="shared" si="34"/>
        <v>2024</v>
      </c>
      <c r="O1103" t="str">
        <f t="shared" si="35"/>
        <v>January</v>
      </c>
    </row>
    <row r="1104" spans="1:15" x14ac:dyDescent="0.2">
      <c r="A1104" t="s">
        <v>1213</v>
      </c>
      <c r="B1104" s="7">
        <v>45514</v>
      </c>
      <c r="C1104" t="s">
        <v>37</v>
      </c>
      <c r="D1104" t="s">
        <v>30</v>
      </c>
      <c r="E1104" t="s">
        <v>31</v>
      </c>
      <c r="F1104" t="s">
        <v>32</v>
      </c>
      <c r="G1104" t="s">
        <v>58</v>
      </c>
      <c r="H1104" t="s">
        <v>84</v>
      </c>
      <c r="I1104" s="3">
        <v>36181.599999999999</v>
      </c>
      <c r="J1104">
        <v>7</v>
      </c>
      <c r="K1104" s="5">
        <v>0.2</v>
      </c>
      <c r="L1104" s="3">
        <v>7931.32</v>
      </c>
      <c r="M1104" t="s">
        <v>20</v>
      </c>
      <c r="N1104">
        <f t="shared" si="34"/>
        <v>2024</v>
      </c>
      <c r="O1104" t="str">
        <f t="shared" si="35"/>
        <v>August</v>
      </c>
    </row>
    <row r="1105" spans="1:15" x14ac:dyDescent="0.2">
      <c r="A1105" t="s">
        <v>1214</v>
      </c>
      <c r="B1105" s="7">
        <v>45854</v>
      </c>
      <c r="C1105" t="s">
        <v>68</v>
      </c>
      <c r="D1105" t="s">
        <v>30</v>
      </c>
      <c r="E1105" t="s">
        <v>122</v>
      </c>
      <c r="F1105" t="s">
        <v>160</v>
      </c>
      <c r="G1105" t="s">
        <v>33</v>
      </c>
      <c r="H1105" t="s">
        <v>34</v>
      </c>
      <c r="I1105" s="3">
        <v>64964.800000000003</v>
      </c>
      <c r="J1105">
        <v>4</v>
      </c>
      <c r="K1105" s="5">
        <v>0.05</v>
      </c>
      <c r="L1105" s="3">
        <v>8328.77</v>
      </c>
      <c r="M1105" t="s">
        <v>40</v>
      </c>
      <c r="N1105">
        <f t="shared" si="34"/>
        <v>2025</v>
      </c>
      <c r="O1105" t="str">
        <f t="shared" si="35"/>
        <v>July</v>
      </c>
    </row>
    <row r="1106" spans="1:15" x14ac:dyDescent="0.2">
      <c r="A1106" t="s">
        <v>1215</v>
      </c>
      <c r="B1106" s="7">
        <v>45623</v>
      </c>
      <c r="C1106" t="s">
        <v>29</v>
      </c>
      <c r="D1106" t="s">
        <v>23</v>
      </c>
      <c r="E1106" t="s">
        <v>38</v>
      </c>
      <c r="F1106" t="s">
        <v>91</v>
      </c>
      <c r="G1106" t="s">
        <v>58</v>
      </c>
      <c r="H1106" t="s">
        <v>59</v>
      </c>
      <c r="I1106" s="3">
        <v>99414</v>
      </c>
      <c r="J1106">
        <v>3</v>
      </c>
      <c r="K1106" s="5">
        <v>0</v>
      </c>
      <c r="L1106" s="3">
        <v>9283.4</v>
      </c>
      <c r="M1106" t="s">
        <v>35</v>
      </c>
      <c r="N1106">
        <f t="shared" si="34"/>
        <v>2024</v>
      </c>
      <c r="O1106" t="str">
        <f t="shared" si="35"/>
        <v>November</v>
      </c>
    </row>
    <row r="1107" spans="1:15" x14ac:dyDescent="0.2">
      <c r="A1107" t="s">
        <v>1216</v>
      </c>
      <c r="B1107" s="7">
        <v>45610</v>
      </c>
      <c r="C1107" t="s">
        <v>90</v>
      </c>
      <c r="D1107" t="s">
        <v>30</v>
      </c>
      <c r="E1107" t="s">
        <v>31</v>
      </c>
      <c r="F1107" t="s">
        <v>32</v>
      </c>
      <c r="G1107" t="s">
        <v>33</v>
      </c>
      <c r="H1107" t="s">
        <v>109</v>
      </c>
      <c r="I1107" s="3">
        <v>8139.6</v>
      </c>
      <c r="J1107">
        <v>7</v>
      </c>
      <c r="K1107" s="5">
        <v>0.05</v>
      </c>
      <c r="L1107" s="3">
        <v>1100.5999999999999</v>
      </c>
      <c r="M1107" t="s">
        <v>49</v>
      </c>
      <c r="N1107">
        <f t="shared" si="34"/>
        <v>2024</v>
      </c>
      <c r="O1107" t="str">
        <f t="shared" si="35"/>
        <v>November</v>
      </c>
    </row>
    <row r="1108" spans="1:15" x14ac:dyDescent="0.2">
      <c r="A1108" t="s">
        <v>1217</v>
      </c>
      <c r="B1108" s="7">
        <v>45356</v>
      </c>
      <c r="C1108" t="s">
        <v>14</v>
      </c>
      <c r="D1108" t="s">
        <v>15</v>
      </c>
      <c r="E1108" t="s">
        <v>16</v>
      </c>
      <c r="F1108" t="s">
        <v>204</v>
      </c>
      <c r="G1108" t="s">
        <v>33</v>
      </c>
      <c r="H1108" t="s">
        <v>34</v>
      </c>
      <c r="I1108" s="3">
        <v>7742.4</v>
      </c>
      <c r="J1108">
        <v>6</v>
      </c>
      <c r="K1108" s="5">
        <v>0.2</v>
      </c>
      <c r="L1108" s="3">
        <v>1734.96</v>
      </c>
      <c r="M1108" t="s">
        <v>49</v>
      </c>
      <c r="N1108">
        <f t="shared" si="34"/>
        <v>2024</v>
      </c>
      <c r="O1108" t="str">
        <f t="shared" si="35"/>
        <v>March</v>
      </c>
    </row>
    <row r="1109" spans="1:15" x14ac:dyDescent="0.2">
      <c r="A1109" t="s">
        <v>1218</v>
      </c>
      <c r="B1109" s="7">
        <v>45883</v>
      </c>
      <c r="C1109" t="s">
        <v>45</v>
      </c>
      <c r="D1109" t="s">
        <v>30</v>
      </c>
      <c r="E1109" t="s">
        <v>122</v>
      </c>
      <c r="F1109" t="s">
        <v>160</v>
      </c>
      <c r="G1109" t="s">
        <v>33</v>
      </c>
      <c r="H1109" t="s">
        <v>48</v>
      </c>
      <c r="I1109" s="3">
        <v>39747.599999999999</v>
      </c>
      <c r="J1109">
        <v>4</v>
      </c>
      <c r="K1109" s="5">
        <v>0.1</v>
      </c>
      <c r="L1109" s="3">
        <v>6598.07</v>
      </c>
      <c r="M1109" t="s">
        <v>40</v>
      </c>
      <c r="N1109">
        <f t="shared" si="34"/>
        <v>2025</v>
      </c>
      <c r="O1109" t="str">
        <f t="shared" si="35"/>
        <v>August</v>
      </c>
    </row>
    <row r="1110" spans="1:15" x14ac:dyDescent="0.2">
      <c r="A1110" t="s">
        <v>1219</v>
      </c>
      <c r="B1110" s="7">
        <v>45389</v>
      </c>
      <c r="C1110" t="s">
        <v>22</v>
      </c>
      <c r="D1110" t="s">
        <v>23</v>
      </c>
      <c r="E1110" t="s">
        <v>79</v>
      </c>
      <c r="F1110" t="s">
        <v>107</v>
      </c>
      <c r="G1110" t="s">
        <v>33</v>
      </c>
      <c r="H1110" t="s">
        <v>48</v>
      </c>
      <c r="I1110" s="3">
        <v>274435.20000000001</v>
      </c>
      <c r="J1110">
        <v>8</v>
      </c>
      <c r="K1110" s="5">
        <v>0.1</v>
      </c>
      <c r="L1110" s="3">
        <v>43139.040000000001</v>
      </c>
      <c r="M1110" t="s">
        <v>40</v>
      </c>
      <c r="N1110">
        <f t="shared" si="34"/>
        <v>2024</v>
      </c>
      <c r="O1110" t="str">
        <f t="shared" si="35"/>
        <v>April</v>
      </c>
    </row>
    <row r="1111" spans="1:15" x14ac:dyDescent="0.2">
      <c r="A1111" t="s">
        <v>1220</v>
      </c>
      <c r="B1111" s="7">
        <v>45574</v>
      </c>
      <c r="C1111" t="s">
        <v>55</v>
      </c>
      <c r="D1111" t="s">
        <v>15</v>
      </c>
      <c r="E1111" t="s">
        <v>65</v>
      </c>
      <c r="F1111" t="s">
        <v>66</v>
      </c>
      <c r="G1111" t="s">
        <v>18</v>
      </c>
      <c r="H1111" t="s">
        <v>63</v>
      </c>
      <c r="I1111" s="3">
        <v>8051.25</v>
      </c>
      <c r="J1111">
        <v>5</v>
      </c>
      <c r="K1111" s="5">
        <v>0.05</v>
      </c>
      <c r="L1111" s="3">
        <v>1817.62</v>
      </c>
      <c r="M1111" t="s">
        <v>27</v>
      </c>
      <c r="N1111">
        <f t="shared" si="34"/>
        <v>2024</v>
      </c>
      <c r="O1111" t="str">
        <f t="shared" si="35"/>
        <v>October</v>
      </c>
    </row>
    <row r="1112" spans="1:15" x14ac:dyDescent="0.2">
      <c r="A1112" t="s">
        <v>1221</v>
      </c>
      <c r="B1112" s="7">
        <v>45571</v>
      </c>
      <c r="C1112" t="s">
        <v>45</v>
      </c>
      <c r="D1112" t="s">
        <v>23</v>
      </c>
      <c r="E1112" t="s">
        <v>38</v>
      </c>
      <c r="F1112" t="s">
        <v>39</v>
      </c>
      <c r="G1112" t="s">
        <v>33</v>
      </c>
      <c r="H1112" t="s">
        <v>48</v>
      </c>
      <c r="I1112" s="3">
        <v>18115.2</v>
      </c>
      <c r="J1112">
        <v>1</v>
      </c>
      <c r="K1112" s="5">
        <v>0.2</v>
      </c>
      <c r="L1112" s="3">
        <v>1072.8599999999999</v>
      </c>
      <c r="M1112" t="s">
        <v>49</v>
      </c>
      <c r="N1112">
        <f t="shared" si="34"/>
        <v>2024</v>
      </c>
      <c r="O1112" t="str">
        <f t="shared" si="35"/>
        <v>October</v>
      </c>
    </row>
    <row r="1113" spans="1:15" x14ac:dyDescent="0.2">
      <c r="A1113" t="s">
        <v>1222</v>
      </c>
      <c r="B1113" s="7">
        <v>45581</v>
      </c>
      <c r="C1113" t="s">
        <v>76</v>
      </c>
      <c r="D1113" t="s">
        <v>30</v>
      </c>
      <c r="E1113" t="s">
        <v>72</v>
      </c>
      <c r="F1113" t="s">
        <v>73</v>
      </c>
      <c r="G1113" t="s">
        <v>33</v>
      </c>
      <c r="H1113" t="s">
        <v>48</v>
      </c>
      <c r="I1113" s="3">
        <v>4454.3999999999996</v>
      </c>
      <c r="J1113">
        <v>2</v>
      </c>
      <c r="K1113" s="5">
        <v>0.2</v>
      </c>
      <c r="L1113" s="3">
        <v>845.31</v>
      </c>
      <c r="M1113" t="s">
        <v>49</v>
      </c>
      <c r="N1113">
        <f t="shared" si="34"/>
        <v>2024</v>
      </c>
      <c r="O1113" t="str">
        <f t="shared" si="35"/>
        <v>October</v>
      </c>
    </row>
    <row r="1114" spans="1:15" x14ac:dyDescent="0.2">
      <c r="A1114" t="s">
        <v>1223</v>
      </c>
      <c r="B1114" s="7">
        <v>45768</v>
      </c>
      <c r="C1114" t="s">
        <v>55</v>
      </c>
      <c r="D1114" t="s">
        <v>30</v>
      </c>
      <c r="E1114" t="s">
        <v>52</v>
      </c>
      <c r="F1114" t="s">
        <v>53</v>
      </c>
      <c r="G1114" t="s">
        <v>42</v>
      </c>
      <c r="H1114" t="s">
        <v>119</v>
      </c>
      <c r="I1114" s="3">
        <v>4151.3999999999996</v>
      </c>
      <c r="J1114">
        <v>3</v>
      </c>
      <c r="K1114" s="5">
        <v>0.15</v>
      </c>
      <c r="L1114" s="3">
        <v>241.79</v>
      </c>
      <c r="M1114" t="s">
        <v>49</v>
      </c>
      <c r="N1114">
        <f t="shared" si="34"/>
        <v>2025</v>
      </c>
      <c r="O1114" t="str">
        <f t="shared" si="35"/>
        <v>April</v>
      </c>
    </row>
    <row r="1115" spans="1:15" x14ac:dyDescent="0.2">
      <c r="A1115" t="s">
        <v>1224</v>
      </c>
      <c r="B1115" s="7">
        <v>45913</v>
      </c>
      <c r="C1115" t="s">
        <v>29</v>
      </c>
      <c r="D1115" t="s">
        <v>15</v>
      </c>
      <c r="E1115" t="s">
        <v>61</v>
      </c>
      <c r="F1115" t="s">
        <v>62</v>
      </c>
      <c r="G1115" t="s">
        <v>33</v>
      </c>
      <c r="H1115" t="s">
        <v>109</v>
      </c>
      <c r="I1115" s="3">
        <v>3540.6</v>
      </c>
      <c r="J1115">
        <v>2</v>
      </c>
      <c r="K1115" s="5">
        <v>0.1</v>
      </c>
      <c r="L1115" s="3">
        <v>334.79</v>
      </c>
      <c r="M1115" t="s">
        <v>27</v>
      </c>
      <c r="N1115">
        <f t="shared" si="34"/>
        <v>2025</v>
      </c>
      <c r="O1115" t="str">
        <f t="shared" si="35"/>
        <v>September</v>
      </c>
    </row>
    <row r="1116" spans="1:15" x14ac:dyDescent="0.2">
      <c r="A1116" t="s">
        <v>1225</v>
      </c>
      <c r="B1116" s="7">
        <v>45614</v>
      </c>
      <c r="C1116" t="s">
        <v>22</v>
      </c>
      <c r="D1116" t="s">
        <v>23</v>
      </c>
      <c r="E1116" t="s">
        <v>172</v>
      </c>
      <c r="F1116" t="s">
        <v>182</v>
      </c>
      <c r="G1116" t="s">
        <v>33</v>
      </c>
      <c r="H1116" t="s">
        <v>34</v>
      </c>
      <c r="I1116" s="3">
        <v>7879.5</v>
      </c>
      <c r="J1116">
        <v>2</v>
      </c>
      <c r="K1116" s="5">
        <v>0.15</v>
      </c>
      <c r="L1116" s="3">
        <v>916.11</v>
      </c>
      <c r="M1116" t="s">
        <v>35</v>
      </c>
      <c r="N1116">
        <f t="shared" si="34"/>
        <v>2024</v>
      </c>
      <c r="O1116" t="str">
        <f t="shared" si="35"/>
        <v>November</v>
      </c>
    </row>
    <row r="1117" spans="1:15" x14ac:dyDescent="0.2">
      <c r="A1117" t="s">
        <v>1226</v>
      </c>
      <c r="B1117" s="7">
        <v>45874</v>
      </c>
      <c r="C1117" t="s">
        <v>14</v>
      </c>
      <c r="D1117" t="s">
        <v>23</v>
      </c>
      <c r="E1117" t="s">
        <v>38</v>
      </c>
      <c r="F1117" t="s">
        <v>140</v>
      </c>
      <c r="G1117" t="s">
        <v>42</v>
      </c>
      <c r="H1117" t="s">
        <v>43</v>
      </c>
      <c r="I1117" s="3">
        <v>223441.2</v>
      </c>
      <c r="J1117">
        <v>6</v>
      </c>
      <c r="K1117" s="5">
        <v>0.1</v>
      </c>
      <c r="L1117" s="3">
        <v>37565.69</v>
      </c>
      <c r="M1117" t="s">
        <v>35</v>
      </c>
      <c r="N1117">
        <f t="shared" si="34"/>
        <v>2025</v>
      </c>
      <c r="O1117" t="str">
        <f t="shared" si="35"/>
        <v>August</v>
      </c>
    </row>
    <row r="1118" spans="1:15" x14ac:dyDescent="0.2">
      <c r="A1118" t="s">
        <v>1227</v>
      </c>
      <c r="B1118" s="7">
        <v>45532</v>
      </c>
      <c r="C1118" t="s">
        <v>37</v>
      </c>
      <c r="D1118" t="s">
        <v>23</v>
      </c>
      <c r="E1118" t="s">
        <v>24</v>
      </c>
      <c r="F1118" t="s">
        <v>77</v>
      </c>
      <c r="G1118" t="s">
        <v>58</v>
      </c>
      <c r="H1118" t="s">
        <v>95</v>
      </c>
      <c r="I1118" s="3">
        <v>31729.05</v>
      </c>
      <c r="J1118">
        <v>3</v>
      </c>
      <c r="K1118" s="5">
        <v>0.05</v>
      </c>
      <c r="L1118" s="3">
        <v>8107.55</v>
      </c>
      <c r="M1118" t="s">
        <v>27</v>
      </c>
      <c r="N1118">
        <f t="shared" si="34"/>
        <v>2024</v>
      </c>
      <c r="O1118" t="str">
        <f t="shared" si="35"/>
        <v>August</v>
      </c>
    </row>
    <row r="1119" spans="1:15" x14ac:dyDescent="0.2">
      <c r="A1119" t="s">
        <v>1228</v>
      </c>
      <c r="B1119" s="7">
        <v>45949</v>
      </c>
      <c r="C1119" t="s">
        <v>22</v>
      </c>
      <c r="D1119" t="s">
        <v>30</v>
      </c>
      <c r="E1119" t="s">
        <v>104</v>
      </c>
      <c r="F1119" t="s">
        <v>137</v>
      </c>
      <c r="G1119" t="s">
        <v>18</v>
      </c>
      <c r="H1119" t="s">
        <v>63</v>
      </c>
      <c r="I1119" s="3">
        <v>27850</v>
      </c>
      <c r="J1119">
        <v>2</v>
      </c>
      <c r="K1119" s="5">
        <v>0</v>
      </c>
      <c r="L1119" s="3">
        <v>5150.46</v>
      </c>
      <c r="M1119" t="s">
        <v>40</v>
      </c>
      <c r="N1119">
        <f t="shared" si="34"/>
        <v>2025</v>
      </c>
      <c r="O1119" t="str">
        <f t="shared" si="35"/>
        <v>October</v>
      </c>
    </row>
    <row r="1120" spans="1:15" x14ac:dyDescent="0.2">
      <c r="A1120" t="s">
        <v>1229</v>
      </c>
      <c r="B1120" s="7">
        <v>45991</v>
      </c>
      <c r="C1120" t="s">
        <v>51</v>
      </c>
      <c r="D1120" t="s">
        <v>15</v>
      </c>
      <c r="E1120" t="s">
        <v>16</v>
      </c>
      <c r="F1120" t="s">
        <v>17</v>
      </c>
      <c r="G1120" t="s">
        <v>33</v>
      </c>
      <c r="H1120" t="s">
        <v>109</v>
      </c>
      <c r="I1120" s="3">
        <v>1958.9</v>
      </c>
      <c r="J1120">
        <v>2</v>
      </c>
      <c r="K1120" s="5">
        <v>0.05</v>
      </c>
      <c r="L1120" s="3">
        <v>154.37</v>
      </c>
      <c r="M1120" t="s">
        <v>20</v>
      </c>
      <c r="N1120">
        <f t="shared" si="34"/>
        <v>2025</v>
      </c>
      <c r="O1120" t="str">
        <f t="shared" si="35"/>
        <v>November</v>
      </c>
    </row>
    <row r="1121" spans="1:15" x14ac:dyDescent="0.2">
      <c r="A1121" t="s">
        <v>1230</v>
      </c>
      <c r="B1121" s="7">
        <v>45622</v>
      </c>
      <c r="C1121" t="s">
        <v>22</v>
      </c>
      <c r="D1121" t="s">
        <v>23</v>
      </c>
      <c r="E1121" t="s">
        <v>24</v>
      </c>
      <c r="F1121" t="s">
        <v>77</v>
      </c>
      <c r="G1121" t="s">
        <v>58</v>
      </c>
      <c r="H1121" t="s">
        <v>95</v>
      </c>
      <c r="I1121" s="3">
        <v>193458</v>
      </c>
      <c r="J1121">
        <v>4</v>
      </c>
      <c r="K1121" s="5">
        <v>0.05</v>
      </c>
      <c r="L1121" s="3">
        <v>32426.81</v>
      </c>
      <c r="M1121" t="s">
        <v>49</v>
      </c>
      <c r="N1121">
        <f t="shared" si="34"/>
        <v>2024</v>
      </c>
      <c r="O1121" t="str">
        <f t="shared" si="35"/>
        <v>November</v>
      </c>
    </row>
    <row r="1122" spans="1:15" x14ac:dyDescent="0.2">
      <c r="A1122" t="s">
        <v>1231</v>
      </c>
      <c r="B1122" s="7">
        <v>45505</v>
      </c>
      <c r="C1122" t="s">
        <v>76</v>
      </c>
      <c r="D1122" t="s">
        <v>23</v>
      </c>
      <c r="E1122" t="s">
        <v>172</v>
      </c>
      <c r="F1122" t="s">
        <v>182</v>
      </c>
      <c r="G1122" t="s">
        <v>42</v>
      </c>
      <c r="H1122" t="s">
        <v>43</v>
      </c>
      <c r="I1122" s="3">
        <v>247685.9</v>
      </c>
      <c r="J1122">
        <v>7</v>
      </c>
      <c r="K1122" s="5">
        <v>0.05</v>
      </c>
      <c r="L1122" s="3">
        <v>45929.32</v>
      </c>
      <c r="M1122" t="s">
        <v>35</v>
      </c>
      <c r="N1122">
        <f t="shared" si="34"/>
        <v>2024</v>
      </c>
      <c r="O1122" t="str">
        <f t="shared" si="35"/>
        <v>August</v>
      </c>
    </row>
    <row r="1123" spans="1:15" x14ac:dyDescent="0.2">
      <c r="A1123" t="s">
        <v>1232</v>
      </c>
      <c r="B1123" s="7">
        <v>45299</v>
      </c>
      <c r="C1123" t="s">
        <v>90</v>
      </c>
      <c r="D1123" t="s">
        <v>30</v>
      </c>
      <c r="E1123" t="s">
        <v>52</v>
      </c>
      <c r="F1123" t="s">
        <v>118</v>
      </c>
      <c r="G1123" t="s">
        <v>42</v>
      </c>
      <c r="H1123" t="s">
        <v>102</v>
      </c>
      <c r="I1123" s="3">
        <v>35220.300000000003</v>
      </c>
      <c r="J1123">
        <v>6</v>
      </c>
      <c r="K1123" s="5">
        <v>0.05</v>
      </c>
      <c r="L1123" s="3">
        <v>3449.87</v>
      </c>
      <c r="M1123" t="s">
        <v>27</v>
      </c>
      <c r="N1123">
        <f t="shared" si="34"/>
        <v>2024</v>
      </c>
      <c r="O1123" t="str">
        <f t="shared" si="35"/>
        <v>January</v>
      </c>
    </row>
    <row r="1124" spans="1:15" x14ac:dyDescent="0.2">
      <c r="A1124" t="s">
        <v>1233</v>
      </c>
      <c r="B1124" s="7">
        <v>45558</v>
      </c>
      <c r="C1124" t="s">
        <v>22</v>
      </c>
      <c r="D1124" t="s">
        <v>30</v>
      </c>
      <c r="E1124" t="s">
        <v>72</v>
      </c>
      <c r="F1124" t="s">
        <v>217</v>
      </c>
      <c r="G1124" t="s">
        <v>42</v>
      </c>
      <c r="H1124" t="s">
        <v>43</v>
      </c>
      <c r="I1124" s="3">
        <v>34948.6</v>
      </c>
      <c r="J1124">
        <v>4</v>
      </c>
      <c r="K1124" s="5">
        <v>0.05</v>
      </c>
      <c r="L1124" s="3">
        <v>4645.07</v>
      </c>
      <c r="M1124" t="s">
        <v>20</v>
      </c>
      <c r="N1124">
        <f t="shared" si="34"/>
        <v>2024</v>
      </c>
      <c r="O1124" t="str">
        <f t="shared" si="35"/>
        <v>September</v>
      </c>
    </row>
    <row r="1125" spans="1:15" x14ac:dyDescent="0.2">
      <c r="A1125" t="s">
        <v>1234</v>
      </c>
      <c r="B1125" s="7">
        <v>45401</v>
      </c>
      <c r="C1125" t="s">
        <v>76</v>
      </c>
      <c r="D1125" t="s">
        <v>15</v>
      </c>
      <c r="E1125" t="s">
        <v>65</v>
      </c>
      <c r="F1125" t="s">
        <v>66</v>
      </c>
      <c r="G1125" t="s">
        <v>58</v>
      </c>
      <c r="H1125" t="s">
        <v>95</v>
      </c>
      <c r="I1125" s="3">
        <v>3927</v>
      </c>
      <c r="J1125">
        <v>7</v>
      </c>
      <c r="K1125" s="5">
        <v>0</v>
      </c>
      <c r="L1125" s="3">
        <v>618.46</v>
      </c>
      <c r="M1125" t="s">
        <v>40</v>
      </c>
      <c r="N1125">
        <f t="shared" si="34"/>
        <v>2024</v>
      </c>
      <c r="O1125" t="str">
        <f t="shared" si="35"/>
        <v>April</v>
      </c>
    </row>
    <row r="1126" spans="1:15" x14ac:dyDescent="0.2">
      <c r="A1126" t="s">
        <v>1235</v>
      </c>
      <c r="B1126" s="7">
        <v>45316</v>
      </c>
      <c r="C1126" t="s">
        <v>68</v>
      </c>
      <c r="D1126" t="s">
        <v>15</v>
      </c>
      <c r="E1126" t="s">
        <v>65</v>
      </c>
      <c r="F1126" t="s">
        <v>66</v>
      </c>
      <c r="G1126" t="s">
        <v>33</v>
      </c>
      <c r="H1126" t="s">
        <v>34</v>
      </c>
      <c r="I1126" s="3">
        <v>17431.2</v>
      </c>
      <c r="J1126">
        <v>8</v>
      </c>
      <c r="K1126" s="5">
        <v>0.1</v>
      </c>
      <c r="L1126" s="3">
        <v>1714.55</v>
      </c>
      <c r="M1126" t="s">
        <v>20</v>
      </c>
      <c r="N1126">
        <f t="shared" si="34"/>
        <v>2024</v>
      </c>
      <c r="O1126" t="str">
        <f t="shared" si="35"/>
        <v>January</v>
      </c>
    </row>
    <row r="1127" spans="1:15" x14ac:dyDescent="0.2">
      <c r="A1127" t="s">
        <v>1236</v>
      </c>
      <c r="B1127" s="7">
        <v>45461</v>
      </c>
      <c r="C1127" t="s">
        <v>29</v>
      </c>
      <c r="D1127" t="s">
        <v>23</v>
      </c>
      <c r="E1127" t="s">
        <v>24</v>
      </c>
      <c r="F1127" t="s">
        <v>86</v>
      </c>
      <c r="G1127" t="s">
        <v>42</v>
      </c>
      <c r="H1127" t="s">
        <v>98</v>
      </c>
      <c r="I1127" s="3">
        <v>287878.84999999998</v>
      </c>
      <c r="J1127">
        <v>7</v>
      </c>
      <c r="K1127" s="5">
        <v>0.15</v>
      </c>
      <c r="L1127" s="3">
        <v>46884.7</v>
      </c>
      <c r="M1127" t="s">
        <v>49</v>
      </c>
      <c r="N1127">
        <f t="shared" si="34"/>
        <v>2024</v>
      </c>
      <c r="O1127" t="str">
        <f t="shared" si="35"/>
        <v>June</v>
      </c>
    </row>
    <row r="1128" spans="1:15" x14ac:dyDescent="0.2">
      <c r="A1128" t="s">
        <v>1237</v>
      </c>
      <c r="B1128" s="7">
        <v>45303</v>
      </c>
      <c r="C1128" t="s">
        <v>68</v>
      </c>
      <c r="D1128" t="s">
        <v>15</v>
      </c>
      <c r="E1128" t="s">
        <v>56</v>
      </c>
      <c r="F1128" t="s">
        <v>88</v>
      </c>
      <c r="G1128" t="s">
        <v>42</v>
      </c>
      <c r="H1128" t="s">
        <v>98</v>
      </c>
      <c r="I1128" s="3">
        <v>363.2</v>
      </c>
      <c r="J1128">
        <v>2</v>
      </c>
      <c r="K1128" s="5">
        <v>0.2</v>
      </c>
      <c r="L1128" s="3">
        <v>14.53</v>
      </c>
      <c r="M1128" t="s">
        <v>20</v>
      </c>
      <c r="N1128">
        <f t="shared" si="34"/>
        <v>2024</v>
      </c>
      <c r="O1128" t="str">
        <f t="shared" si="35"/>
        <v>January</v>
      </c>
    </row>
    <row r="1129" spans="1:15" x14ac:dyDescent="0.2">
      <c r="A1129" t="s">
        <v>1238</v>
      </c>
      <c r="B1129" s="7">
        <v>45673</v>
      </c>
      <c r="C1129" t="s">
        <v>37</v>
      </c>
      <c r="D1129" t="s">
        <v>30</v>
      </c>
      <c r="E1129" t="s">
        <v>122</v>
      </c>
      <c r="F1129" t="s">
        <v>131</v>
      </c>
      <c r="G1129" t="s">
        <v>58</v>
      </c>
      <c r="H1129" t="s">
        <v>74</v>
      </c>
      <c r="I1129" s="3">
        <v>6676.75</v>
      </c>
      <c r="J1129">
        <v>1</v>
      </c>
      <c r="K1129" s="5">
        <v>0.15</v>
      </c>
      <c r="L1129" s="3">
        <v>1274.3900000000001</v>
      </c>
      <c r="M1129" t="s">
        <v>27</v>
      </c>
      <c r="N1129">
        <f t="shared" si="34"/>
        <v>2025</v>
      </c>
      <c r="O1129" t="str">
        <f t="shared" si="35"/>
        <v>January</v>
      </c>
    </row>
    <row r="1130" spans="1:15" x14ac:dyDescent="0.2">
      <c r="A1130" t="s">
        <v>1239</v>
      </c>
      <c r="B1130" s="7">
        <v>45943</v>
      </c>
      <c r="C1130" t="s">
        <v>14</v>
      </c>
      <c r="D1130" t="s">
        <v>30</v>
      </c>
      <c r="E1130" t="s">
        <v>52</v>
      </c>
      <c r="F1130" t="s">
        <v>53</v>
      </c>
      <c r="G1130" t="s">
        <v>42</v>
      </c>
      <c r="H1130" t="s">
        <v>102</v>
      </c>
      <c r="I1130" s="3">
        <v>44688</v>
      </c>
      <c r="J1130">
        <v>5</v>
      </c>
      <c r="K1130" s="5">
        <v>0.05</v>
      </c>
      <c r="L1130" s="3">
        <v>4091.86</v>
      </c>
      <c r="M1130" t="s">
        <v>49</v>
      </c>
      <c r="N1130">
        <f t="shared" si="34"/>
        <v>2025</v>
      </c>
      <c r="O1130" t="str">
        <f t="shared" si="35"/>
        <v>October</v>
      </c>
    </row>
    <row r="1131" spans="1:15" x14ac:dyDescent="0.2">
      <c r="A1131" t="s">
        <v>1240</v>
      </c>
      <c r="B1131" s="7">
        <v>45783</v>
      </c>
      <c r="C1131" t="s">
        <v>37</v>
      </c>
      <c r="D1131" t="s">
        <v>23</v>
      </c>
      <c r="E1131" t="s">
        <v>82</v>
      </c>
      <c r="F1131" t="s">
        <v>240</v>
      </c>
      <c r="G1131" t="s">
        <v>18</v>
      </c>
      <c r="H1131" t="s">
        <v>70</v>
      </c>
      <c r="I1131" s="3">
        <v>124136</v>
      </c>
      <c r="J1131">
        <v>4</v>
      </c>
      <c r="K1131" s="5">
        <v>0</v>
      </c>
      <c r="L1131" s="3">
        <v>27381.34</v>
      </c>
      <c r="M1131" t="s">
        <v>40</v>
      </c>
      <c r="N1131">
        <f t="shared" si="34"/>
        <v>2025</v>
      </c>
      <c r="O1131" t="str">
        <f t="shared" si="35"/>
        <v>May</v>
      </c>
    </row>
    <row r="1132" spans="1:15" x14ac:dyDescent="0.2">
      <c r="A1132" t="s">
        <v>1241</v>
      </c>
      <c r="B1132" s="7">
        <v>45305</v>
      </c>
      <c r="C1132" t="s">
        <v>90</v>
      </c>
      <c r="D1132" t="s">
        <v>23</v>
      </c>
      <c r="E1132" t="s">
        <v>82</v>
      </c>
      <c r="F1132" t="s">
        <v>265</v>
      </c>
      <c r="G1132" t="s">
        <v>58</v>
      </c>
      <c r="H1132" t="s">
        <v>59</v>
      </c>
      <c r="I1132" s="3">
        <v>28729.15</v>
      </c>
      <c r="J1132">
        <v>1</v>
      </c>
      <c r="K1132" s="5">
        <v>0.15</v>
      </c>
      <c r="L1132" s="3">
        <v>2226.64</v>
      </c>
      <c r="M1132" t="s">
        <v>20</v>
      </c>
      <c r="N1132">
        <f t="shared" si="34"/>
        <v>2024</v>
      </c>
      <c r="O1132" t="str">
        <f t="shared" si="35"/>
        <v>January</v>
      </c>
    </row>
    <row r="1133" spans="1:15" x14ac:dyDescent="0.2">
      <c r="A1133" t="s">
        <v>1242</v>
      </c>
      <c r="B1133" s="7">
        <v>45484</v>
      </c>
      <c r="C1133" t="s">
        <v>76</v>
      </c>
      <c r="D1133" t="s">
        <v>15</v>
      </c>
      <c r="E1133" t="s">
        <v>16</v>
      </c>
      <c r="F1133" t="s">
        <v>230</v>
      </c>
      <c r="G1133" t="s">
        <v>42</v>
      </c>
      <c r="H1133" t="s">
        <v>119</v>
      </c>
      <c r="I1133" s="3">
        <v>1432.8</v>
      </c>
      <c r="J1133">
        <v>8</v>
      </c>
      <c r="K1133" s="5">
        <v>0.1</v>
      </c>
      <c r="L1133" s="3">
        <v>354.82</v>
      </c>
      <c r="M1133" t="s">
        <v>49</v>
      </c>
      <c r="N1133">
        <f t="shared" si="34"/>
        <v>2024</v>
      </c>
      <c r="O1133" t="str">
        <f t="shared" si="35"/>
        <v>July</v>
      </c>
    </row>
    <row r="1134" spans="1:15" x14ac:dyDescent="0.2">
      <c r="A1134" t="s">
        <v>1243</v>
      </c>
      <c r="B1134" s="7">
        <v>45775</v>
      </c>
      <c r="C1134" t="s">
        <v>51</v>
      </c>
      <c r="D1134" t="s">
        <v>23</v>
      </c>
      <c r="E1134" t="s">
        <v>82</v>
      </c>
      <c r="F1134" t="s">
        <v>265</v>
      </c>
      <c r="G1134" t="s">
        <v>58</v>
      </c>
      <c r="H1134" t="s">
        <v>59</v>
      </c>
      <c r="I1134" s="3">
        <v>15981.6</v>
      </c>
      <c r="J1134">
        <v>1</v>
      </c>
      <c r="K1134" s="5">
        <v>0.2</v>
      </c>
      <c r="L1134" s="3">
        <v>1653.45</v>
      </c>
      <c r="M1134" t="s">
        <v>40</v>
      </c>
      <c r="N1134">
        <f t="shared" si="34"/>
        <v>2025</v>
      </c>
      <c r="O1134" t="str">
        <f t="shared" si="35"/>
        <v>April</v>
      </c>
    </row>
    <row r="1135" spans="1:15" x14ac:dyDescent="0.2">
      <c r="A1135" t="s">
        <v>1244</v>
      </c>
      <c r="B1135" s="7">
        <v>45647</v>
      </c>
      <c r="C1135" t="s">
        <v>68</v>
      </c>
      <c r="D1135" t="s">
        <v>30</v>
      </c>
      <c r="E1135" t="s">
        <v>104</v>
      </c>
      <c r="F1135" t="s">
        <v>170</v>
      </c>
      <c r="G1135" t="s">
        <v>33</v>
      </c>
      <c r="H1135" t="s">
        <v>34</v>
      </c>
      <c r="I1135" s="3">
        <v>33150</v>
      </c>
      <c r="J1135">
        <v>6</v>
      </c>
      <c r="K1135" s="5">
        <v>0.15</v>
      </c>
      <c r="L1135" s="3">
        <v>3875.96</v>
      </c>
      <c r="M1135" t="s">
        <v>40</v>
      </c>
      <c r="N1135">
        <f t="shared" si="34"/>
        <v>2024</v>
      </c>
      <c r="O1135" t="str">
        <f t="shared" si="35"/>
        <v>December</v>
      </c>
    </row>
    <row r="1136" spans="1:15" x14ac:dyDescent="0.2">
      <c r="A1136" t="s">
        <v>1245</v>
      </c>
      <c r="B1136" s="7">
        <v>45952</v>
      </c>
      <c r="C1136" t="s">
        <v>29</v>
      </c>
      <c r="D1136" t="s">
        <v>15</v>
      </c>
      <c r="E1136" t="s">
        <v>61</v>
      </c>
      <c r="F1136" t="s">
        <v>62</v>
      </c>
      <c r="G1136" t="s">
        <v>58</v>
      </c>
      <c r="H1136" t="s">
        <v>84</v>
      </c>
      <c r="I1136" s="3">
        <v>1193.4000000000001</v>
      </c>
      <c r="J1136">
        <v>2</v>
      </c>
      <c r="K1136" s="5">
        <v>0.1</v>
      </c>
      <c r="L1136" s="3">
        <v>286.35000000000002</v>
      </c>
      <c r="M1136" t="s">
        <v>49</v>
      </c>
      <c r="N1136">
        <f t="shared" si="34"/>
        <v>2025</v>
      </c>
      <c r="O1136" t="str">
        <f t="shared" si="35"/>
        <v>October</v>
      </c>
    </row>
    <row r="1137" spans="1:15" x14ac:dyDescent="0.2">
      <c r="A1137" t="s">
        <v>1246</v>
      </c>
      <c r="B1137" s="7">
        <v>45879</v>
      </c>
      <c r="C1137" t="s">
        <v>55</v>
      </c>
      <c r="D1137" t="s">
        <v>15</v>
      </c>
      <c r="E1137" t="s">
        <v>46</v>
      </c>
      <c r="F1137" t="s">
        <v>116</v>
      </c>
      <c r="G1137" t="s">
        <v>18</v>
      </c>
      <c r="H1137" t="s">
        <v>19</v>
      </c>
      <c r="I1137" s="3">
        <v>6589.2</v>
      </c>
      <c r="J1137">
        <v>3</v>
      </c>
      <c r="K1137" s="5">
        <v>0.05</v>
      </c>
      <c r="L1137" s="3">
        <v>1566.38</v>
      </c>
      <c r="M1137" t="s">
        <v>40</v>
      </c>
      <c r="N1137">
        <f t="shared" si="34"/>
        <v>2025</v>
      </c>
      <c r="O1137" t="str">
        <f t="shared" si="35"/>
        <v>August</v>
      </c>
    </row>
    <row r="1138" spans="1:15" x14ac:dyDescent="0.2">
      <c r="A1138" t="s">
        <v>1247</v>
      </c>
      <c r="B1138" s="7">
        <v>45855</v>
      </c>
      <c r="C1138" t="s">
        <v>55</v>
      </c>
      <c r="D1138" t="s">
        <v>15</v>
      </c>
      <c r="E1138" t="s">
        <v>61</v>
      </c>
      <c r="F1138" t="s">
        <v>111</v>
      </c>
      <c r="G1138" t="s">
        <v>18</v>
      </c>
      <c r="H1138" t="s">
        <v>63</v>
      </c>
      <c r="I1138" s="3">
        <v>2457</v>
      </c>
      <c r="J1138">
        <v>1</v>
      </c>
      <c r="K1138" s="5">
        <v>0</v>
      </c>
      <c r="L1138" s="3">
        <v>321.73</v>
      </c>
      <c r="M1138" t="s">
        <v>40</v>
      </c>
      <c r="N1138">
        <f t="shared" si="34"/>
        <v>2025</v>
      </c>
      <c r="O1138" t="str">
        <f t="shared" si="35"/>
        <v>July</v>
      </c>
    </row>
    <row r="1139" spans="1:15" x14ac:dyDescent="0.2">
      <c r="A1139" t="s">
        <v>1248</v>
      </c>
      <c r="B1139" s="7">
        <v>45651</v>
      </c>
      <c r="C1139" t="s">
        <v>22</v>
      </c>
      <c r="D1139" t="s">
        <v>15</v>
      </c>
      <c r="E1139" t="s">
        <v>65</v>
      </c>
      <c r="F1139" t="s">
        <v>66</v>
      </c>
      <c r="G1139" t="s">
        <v>58</v>
      </c>
      <c r="H1139" t="s">
        <v>95</v>
      </c>
      <c r="I1139" s="3">
        <v>11434.2</v>
      </c>
      <c r="J1139">
        <v>6</v>
      </c>
      <c r="K1139" s="5">
        <v>0.15</v>
      </c>
      <c r="L1139" s="3">
        <v>986.93</v>
      </c>
      <c r="M1139" t="s">
        <v>20</v>
      </c>
      <c r="N1139">
        <f t="shared" si="34"/>
        <v>2024</v>
      </c>
      <c r="O1139" t="str">
        <f t="shared" si="35"/>
        <v>December</v>
      </c>
    </row>
    <row r="1140" spans="1:15" x14ac:dyDescent="0.2">
      <c r="A1140" t="s">
        <v>1249</v>
      </c>
      <c r="B1140" s="7">
        <v>45365</v>
      </c>
      <c r="C1140" t="s">
        <v>68</v>
      </c>
      <c r="D1140" t="s">
        <v>23</v>
      </c>
      <c r="E1140" t="s">
        <v>38</v>
      </c>
      <c r="F1140" t="s">
        <v>39</v>
      </c>
      <c r="G1140" t="s">
        <v>33</v>
      </c>
      <c r="H1140" t="s">
        <v>48</v>
      </c>
      <c r="I1140" s="3">
        <v>50774.75</v>
      </c>
      <c r="J1140">
        <v>1</v>
      </c>
      <c r="K1140" s="5">
        <v>0.15</v>
      </c>
      <c r="L1140" s="3">
        <v>3623.85</v>
      </c>
      <c r="M1140" t="s">
        <v>40</v>
      </c>
      <c r="N1140">
        <f t="shared" si="34"/>
        <v>2024</v>
      </c>
      <c r="O1140" t="str">
        <f t="shared" si="35"/>
        <v>March</v>
      </c>
    </row>
    <row r="1141" spans="1:15" x14ac:dyDescent="0.2">
      <c r="A1141" t="s">
        <v>1250</v>
      </c>
      <c r="B1141" s="7">
        <v>45988</v>
      </c>
      <c r="C1141" t="s">
        <v>37</v>
      </c>
      <c r="D1141" t="s">
        <v>30</v>
      </c>
      <c r="E1141" t="s">
        <v>104</v>
      </c>
      <c r="F1141" t="s">
        <v>105</v>
      </c>
      <c r="G1141" t="s">
        <v>33</v>
      </c>
      <c r="H1141" t="s">
        <v>128</v>
      </c>
      <c r="I1141" s="3">
        <v>1819</v>
      </c>
      <c r="J1141">
        <v>1</v>
      </c>
      <c r="K1141" s="5">
        <v>0</v>
      </c>
      <c r="L1141" s="3">
        <v>220.86</v>
      </c>
      <c r="M1141" t="s">
        <v>20</v>
      </c>
      <c r="N1141">
        <f t="shared" si="34"/>
        <v>2025</v>
      </c>
      <c r="O1141" t="str">
        <f t="shared" si="35"/>
        <v>November</v>
      </c>
    </row>
    <row r="1142" spans="1:15" x14ac:dyDescent="0.2">
      <c r="A1142" t="s">
        <v>1251</v>
      </c>
      <c r="B1142" s="7">
        <v>45603</v>
      </c>
      <c r="C1142" t="s">
        <v>22</v>
      </c>
      <c r="D1142" t="s">
        <v>30</v>
      </c>
      <c r="E1142" t="s">
        <v>122</v>
      </c>
      <c r="F1142" t="s">
        <v>160</v>
      </c>
      <c r="G1142" t="s">
        <v>18</v>
      </c>
      <c r="H1142" t="s">
        <v>63</v>
      </c>
      <c r="I1142" s="3">
        <v>63290.15</v>
      </c>
      <c r="J1142">
        <v>7</v>
      </c>
      <c r="K1142" s="5">
        <v>0.15</v>
      </c>
      <c r="L1142" s="3">
        <v>7435.53</v>
      </c>
      <c r="M1142" t="s">
        <v>35</v>
      </c>
      <c r="N1142">
        <f t="shared" si="34"/>
        <v>2024</v>
      </c>
      <c r="O1142" t="str">
        <f t="shared" si="35"/>
        <v>November</v>
      </c>
    </row>
    <row r="1143" spans="1:15" x14ac:dyDescent="0.2">
      <c r="A1143" t="s">
        <v>1252</v>
      </c>
      <c r="B1143" s="7">
        <v>45684</v>
      </c>
      <c r="C1143" t="s">
        <v>51</v>
      </c>
      <c r="D1143" t="s">
        <v>15</v>
      </c>
      <c r="E1143" t="s">
        <v>61</v>
      </c>
      <c r="F1143" t="s">
        <v>111</v>
      </c>
      <c r="G1143" t="s">
        <v>18</v>
      </c>
      <c r="H1143" t="s">
        <v>63</v>
      </c>
      <c r="I1143" s="3">
        <v>1634.4</v>
      </c>
      <c r="J1143">
        <v>8</v>
      </c>
      <c r="K1143" s="5">
        <v>0.1</v>
      </c>
      <c r="L1143" s="3">
        <v>318.91000000000003</v>
      </c>
      <c r="M1143" t="s">
        <v>20</v>
      </c>
      <c r="N1143">
        <f t="shared" si="34"/>
        <v>2025</v>
      </c>
      <c r="O1143" t="str">
        <f t="shared" si="35"/>
        <v>January</v>
      </c>
    </row>
    <row r="1144" spans="1:15" x14ac:dyDescent="0.2">
      <c r="A1144" t="s">
        <v>1253</v>
      </c>
      <c r="B1144" s="7">
        <v>45386</v>
      </c>
      <c r="C1144" t="s">
        <v>37</v>
      </c>
      <c r="D1144" t="s">
        <v>30</v>
      </c>
      <c r="E1144" t="s">
        <v>72</v>
      </c>
      <c r="F1144" t="s">
        <v>217</v>
      </c>
      <c r="G1144" t="s">
        <v>42</v>
      </c>
      <c r="H1144" t="s">
        <v>43</v>
      </c>
      <c r="I1144" s="3">
        <v>99793.4</v>
      </c>
      <c r="J1144">
        <v>7</v>
      </c>
      <c r="K1144" s="5">
        <v>0.15</v>
      </c>
      <c r="L1144" s="3">
        <v>9273.93</v>
      </c>
      <c r="M1144" t="s">
        <v>40</v>
      </c>
      <c r="N1144">
        <f t="shared" si="34"/>
        <v>2024</v>
      </c>
      <c r="O1144" t="str">
        <f t="shared" si="35"/>
        <v>April</v>
      </c>
    </row>
    <row r="1145" spans="1:15" x14ac:dyDescent="0.2">
      <c r="A1145" t="s">
        <v>1254</v>
      </c>
      <c r="B1145" s="7">
        <v>46012</v>
      </c>
      <c r="C1145" t="s">
        <v>29</v>
      </c>
      <c r="D1145" t="s">
        <v>15</v>
      </c>
      <c r="E1145" t="s">
        <v>16</v>
      </c>
      <c r="F1145" t="s">
        <v>230</v>
      </c>
      <c r="G1145" t="s">
        <v>58</v>
      </c>
      <c r="H1145" t="s">
        <v>59</v>
      </c>
      <c r="I1145" s="3">
        <v>1296</v>
      </c>
      <c r="J1145">
        <v>6</v>
      </c>
      <c r="K1145" s="5">
        <v>0.1</v>
      </c>
      <c r="L1145" s="3">
        <v>151.58000000000001</v>
      </c>
      <c r="M1145" t="s">
        <v>40</v>
      </c>
      <c r="N1145">
        <f t="shared" si="34"/>
        <v>2025</v>
      </c>
      <c r="O1145" t="str">
        <f t="shared" si="35"/>
        <v>December</v>
      </c>
    </row>
    <row r="1146" spans="1:15" x14ac:dyDescent="0.2">
      <c r="A1146" t="s">
        <v>1255</v>
      </c>
      <c r="B1146" s="7">
        <v>45477</v>
      </c>
      <c r="C1146" t="s">
        <v>29</v>
      </c>
      <c r="D1146" t="s">
        <v>15</v>
      </c>
      <c r="E1146" t="s">
        <v>61</v>
      </c>
      <c r="F1146" t="s">
        <v>144</v>
      </c>
      <c r="G1146" t="s">
        <v>18</v>
      </c>
      <c r="H1146" t="s">
        <v>70</v>
      </c>
      <c r="I1146" s="3">
        <v>5541.15</v>
      </c>
      <c r="J1146">
        <v>3</v>
      </c>
      <c r="K1146" s="5">
        <v>0.15</v>
      </c>
      <c r="L1146" s="3">
        <v>312.08</v>
      </c>
      <c r="M1146" t="s">
        <v>27</v>
      </c>
      <c r="N1146">
        <f t="shared" si="34"/>
        <v>2024</v>
      </c>
      <c r="O1146" t="str">
        <f t="shared" si="35"/>
        <v>July</v>
      </c>
    </row>
    <row r="1147" spans="1:15" x14ac:dyDescent="0.2">
      <c r="A1147" t="s">
        <v>1256</v>
      </c>
      <c r="B1147" s="7">
        <v>45592</v>
      </c>
      <c r="C1147" t="s">
        <v>55</v>
      </c>
      <c r="D1147" t="s">
        <v>15</v>
      </c>
      <c r="E1147" t="s">
        <v>56</v>
      </c>
      <c r="F1147" t="s">
        <v>57</v>
      </c>
      <c r="G1147" t="s">
        <v>58</v>
      </c>
      <c r="H1147" t="s">
        <v>95</v>
      </c>
      <c r="I1147" s="3">
        <v>4010.9</v>
      </c>
      <c r="J1147">
        <v>2</v>
      </c>
      <c r="K1147" s="5">
        <v>0.05</v>
      </c>
      <c r="L1147" s="3">
        <v>994.51</v>
      </c>
      <c r="M1147" t="s">
        <v>20</v>
      </c>
      <c r="N1147">
        <f t="shared" si="34"/>
        <v>2024</v>
      </c>
      <c r="O1147" t="str">
        <f t="shared" si="35"/>
        <v>October</v>
      </c>
    </row>
    <row r="1148" spans="1:15" x14ac:dyDescent="0.2">
      <c r="A1148" t="s">
        <v>1257</v>
      </c>
      <c r="B1148" s="7">
        <v>45297</v>
      </c>
      <c r="C1148" t="s">
        <v>22</v>
      </c>
      <c r="D1148" t="s">
        <v>30</v>
      </c>
      <c r="E1148" t="s">
        <v>72</v>
      </c>
      <c r="F1148" t="s">
        <v>217</v>
      </c>
      <c r="G1148" t="s">
        <v>42</v>
      </c>
      <c r="H1148" t="s">
        <v>43</v>
      </c>
      <c r="I1148" s="3">
        <v>8458.35</v>
      </c>
      <c r="J1148">
        <v>3</v>
      </c>
      <c r="K1148" s="5">
        <v>0.15</v>
      </c>
      <c r="L1148" s="3">
        <v>1182.05</v>
      </c>
      <c r="M1148" t="s">
        <v>40</v>
      </c>
      <c r="N1148">
        <f t="shared" si="34"/>
        <v>2024</v>
      </c>
      <c r="O1148" t="str">
        <f t="shared" si="35"/>
        <v>January</v>
      </c>
    </row>
    <row r="1149" spans="1:15" x14ac:dyDescent="0.2">
      <c r="A1149" t="s">
        <v>1258</v>
      </c>
      <c r="B1149" s="7">
        <v>45410</v>
      </c>
      <c r="C1149" t="s">
        <v>37</v>
      </c>
      <c r="D1149" t="s">
        <v>30</v>
      </c>
      <c r="E1149" t="s">
        <v>52</v>
      </c>
      <c r="F1149" t="s">
        <v>53</v>
      </c>
      <c r="G1149" t="s">
        <v>42</v>
      </c>
      <c r="H1149" t="s">
        <v>98</v>
      </c>
      <c r="I1149" s="3">
        <v>86526.6</v>
      </c>
      <c r="J1149">
        <v>6</v>
      </c>
      <c r="K1149" s="5">
        <v>0.15</v>
      </c>
      <c r="L1149" s="3">
        <v>17667.32</v>
      </c>
      <c r="M1149" t="s">
        <v>40</v>
      </c>
      <c r="N1149">
        <f t="shared" si="34"/>
        <v>2024</v>
      </c>
      <c r="O1149" t="str">
        <f t="shared" si="35"/>
        <v>April</v>
      </c>
    </row>
    <row r="1150" spans="1:15" x14ac:dyDescent="0.2">
      <c r="A1150" t="s">
        <v>1259</v>
      </c>
      <c r="B1150" s="7">
        <v>45669</v>
      </c>
      <c r="C1150" t="s">
        <v>51</v>
      </c>
      <c r="D1150" t="s">
        <v>23</v>
      </c>
      <c r="E1150" t="s">
        <v>24</v>
      </c>
      <c r="F1150" t="s">
        <v>86</v>
      </c>
      <c r="G1150" t="s">
        <v>18</v>
      </c>
      <c r="H1150" t="s">
        <v>63</v>
      </c>
      <c r="I1150" s="3">
        <v>255633.6</v>
      </c>
      <c r="J1150">
        <v>6</v>
      </c>
      <c r="K1150" s="5">
        <v>0.2</v>
      </c>
      <c r="L1150" s="3">
        <v>53564.93</v>
      </c>
      <c r="M1150" t="s">
        <v>20</v>
      </c>
      <c r="N1150">
        <f t="shared" si="34"/>
        <v>2025</v>
      </c>
      <c r="O1150" t="str">
        <f t="shared" si="35"/>
        <v>January</v>
      </c>
    </row>
    <row r="1151" spans="1:15" x14ac:dyDescent="0.2">
      <c r="A1151" t="s">
        <v>1260</v>
      </c>
      <c r="B1151" s="7">
        <v>45972</v>
      </c>
      <c r="C1151" t="s">
        <v>45</v>
      </c>
      <c r="D1151" t="s">
        <v>30</v>
      </c>
      <c r="E1151" t="s">
        <v>122</v>
      </c>
      <c r="F1151" t="s">
        <v>160</v>
      </c>
      <c r="G1151" t="s">
        <v>18</v>
      </c>
      <c r="H1151" t="s">
        <v>19</v>
      </c>
      <c r="I1151" s="3">
        <v>18490.5</v>
      </c>
      <c r="J1151">
        <v>7</v>
      </c>
      <c r="K1151" s="5">
        <v>0.1</v>
      </c>
      <c r="L1151" s="3">
        <v>4263.1000000000004</v>
      </c>
      <c r="M1151" t="s">
        <v>49</v>
      </c>
      <c r="N1151">
        <f t="shared" si="34"/>
        <v>2025</v>
      </c>
      <c r="O1151" t="str">
        <f t="shared" si="35"/>
        <v>November</v>
      </c>
    </row>
    <row r="1152" spans="1:15" x14ac:dyDescent="0.2">
      <c r="A1152" t="s">
        <v>1261</v>
      </c>
      <c r="B1152" s="7">
        <v>45748</v>
      </c>
      <c r="C1152" t="s">
        <v>51</v>
      </c>
      <c r="D1152" t="s">
        <v>30</v>
      </c>
      <c r="E1152" t="s">
        <v>72</v>
      </c>
      <c r="F1152" t="s">
        <v>217</v>
      </c>
      <c r="G1152" t="s">
        <v>33</v>
      </c>
      <c r="H1152" t="s">
        <v>48</v>
      </c>
      <c r="I1152" s="3">
        <v>3448.5</v>
      </c>
      <c r="J1152">
        <v>1</v>
      </c>
      <c r="K1152" s="5">
        <v>0.05</v>
      </c>
      <c r="L1152" s="3">
        <v>691.18</v>
      </c>
      <c r="M1152" t="s">
        <v>27</v>
      </c>
      <c r="N1152">
        <f t="shared" si="34"/>
        <v>2025</v>
      </c>
      <c r="O1152" t="str">
        <f t="shared" si="35"/>
        <v>April</v>
      </c>
    </row>
    <row r="1153" spans="1:15" x14ac:dyDescent="0.2">
      <c r="A1153" t="s">
        <v>1262</v>
      </c>
      <c r="B1153" s="7">
        <v>45499</v>
      </c>
      <c r="C1153" t="s">
        <v>55</v>
      </c>
      <c r="D1153" t="s">
        <v>15</v>
      </c>
      <c r="E1153" t="s">
        <v>65</v>
      </c>
      <c r="F1153" t="s">
        <v>222</v>
      </c>
      <c r="G1153" t="s">
        <v>58</v>
      </c>
      <c r="H1153" t="s">
        <v>95</v>
      </c>
      <c r="I1153" s="3">
        <v>1377.6</v>
      </c>
      <c r="J1153">
        <v>3</v>
      </c>
      <c r="K1153" s="5">
        <v>0.2</v>
      </c>
      <c r="L1153" s="3">
        <v>52.28</v>
      </c>
      <c r="M1153" t="s">
        <v>27</v>
      </c>
      <c r="N1153">
        <f t="shared" si="34"/>
        <v>2024</v>
      </c>
      <c r="O1153" t="str">
        <f t="shared" si="35"/>
        <v>July</v>
      </c>
    </row>
    <row r="1154" spans="1:15" x14ac:dyDescent="0.2">
      <c r="A1154" t="s">
        <v>1263</v>
      </c>
      <c r="B1154" s="7">
        <v>45602</v>
      </c>
      <c r="C1154" t="s">
        <v>55</v>
      </c>
      <c r="D1154" t="s">
        <v>23</v>
      </c>
      <c r="E1154" t="s">
        <v>38</v>
      </c>
      <c r="F1154" t="s">
        <v>140</v>
      </c>
      <c r="G1154" t="s">
        <v>18</v>
      </c>
      <c r="H1154" t="s">
        <v>19</v>
      </c>
      <c r="I1154" s="3">
        <v>6871.2</v>
      </c>
      <c r="J1154">
        <v>1</v>
      </c>
      <c r="K1154" s="5">
        <v>0.2</v>
      </c>
      <c r="L1154" s="3">
        <v>935.2</v>
      </c>
      <c r="M1154" t="s">
        <v>27</v>
      </c>
      <c r="N1154">
        <f t="shared" ref="N1154:N1201" si="36">YEAR(B1154)</f>
        <v>2024</v>
      </c>
      <c r="O1154" t="str">
        <f t="shared" ref="O1154:O1201" si="37">TEXT(B1154,"mmmm")</f>
        <v>November</v>
      </c>
    </row>
    <row r="1155" spans="1:15" x14ac:dyDescent="0.2">
      <c r="A1155" t="s">
        <v>1264</v>
      </c>
      <c r="B1155" s="7">
        <v>45858</v>
      </c>
      <c r="C1155" t="s">
        <v>51</v>
      </c>
      <c r="D1155" t="s">
        <v>23</v>
      </c>
      <c r="E1155" t="s">
        <v>38</v>
      </c>
      <c r="F1155" t="s">
        <v>39</v>
      </c>
      <c r="G1155" t="s">
        <v>33</v>
      </c>
      <c r="H1155" t="s">
        <v>48</v>
      </c>
      <c r="I1155" s="3">
        <v>260352</v>
      </c>
      <c r="J1155">
        <v>8</v>
      </c>
      <c r="K1155" s="5">
        <v>0</v>
      </c>
      <c r="L1155" s="3">
        <v>29806.03</v>
      </c>
      <c r="M1155" t="s">
        <v>20</v>
      </c>
      <c r="N1155">
        <f t="shared" si="36"/>
        <v>2025</v>
      </c>
      <c r="O1155" t="str">
        <f t="shared" si="37"/>
        <v>July</v>
      </c>
    </row>
    <row r="1156" spans="1:15" x14ac:dyDescent="0.2">
      <c r="A1156" t="s">
        <v>1265</v>
      </c>
      <c r="B1156" s="7">
        <v>45662</v>
      </c>
      <c r="C1156" t="s">
        <v>76</v>
      </c>
      <c r="D1156" t="s">
        <v>23</v>
      </c>
      <c r="E1156" t="s">
        <v>24</v>
      </c>
      <c r="F1156" t="s">
        <v>86</v>
      </c>
      <c r="G1156" t="s">
        <v>33</v>
      </c>
      <c r="H1156" t="s">
        <v>128</v>
      </c>
      <c r="I1156" s="3">
        <v>65115.1</v>
      </c>
      <c r="J1156">
        <v>2</v>
      </c>
      <c r="K1156" s="5">
        <v>0.15</v>
      </c>
      <c r="L1156" s="3">
        <v>13703.75</v>
      </c>
      <c r="M1156" t="s">
        <v>27</v>
      </c>
      <c r="N1156">
        <f t="shared" si="36"/>
        <v>2025</v>
      </c>
      <c r="O1156" t="str">
        <f t="shared" si="37"/>
        <v>January</v>
      </c>
    </row>
    <row r="1157" spans="1:15" x14ac:dyDescent="0.2">
      <c r="A1157" t="s">
        <v>1266</v>
      </c>
      <c r="B1157" s="7">
        <v>45522</v>
      </c>
      <c r="C1157" t="s">
        <v>55</v>
      </c>
      <c r="D1157" t="s">
        <v>30</v>
      </c>
      <c r="E1157" t="s">
        <v>52</v>
      </c>
      <c r="F1157" t="s">
        <v>127</v>
      </c>
      <c r="G1157" t="s">
        <v>58</v>
      </c>
      <c r="H1157" t="s">
        <v>95</v>
      </c>
      <c r="I1157" s="3">
        <v>42310.45</v>
      </c>
      <c r="J1157">
        <v>7</v>
      </c>
      <c r="K1157" s="5">
        <v>0.15</v>
      </c>
      <c r="L1157" s="3">
        <v>5604.68</v>
      </c>
      <c r="M1157" t="s">
        <v>49</v>
      </c>
      <c r="N1157">
        <f t="shared" si="36"/>
        <v>2024</v>
      </c>
      <c r="O1157" t="str">
        <f t="shared" si="37"/>
        <v>August</v>
      </c>
    </row>
    <row r="1158" spans="1:15" x14ac:dyDescent="0.2">
      <c r="A1158" t="s">
        <v>1267</v>
      </c>
      <c r="B1158" s="7">
        <v>45359</v>
      </c>
      <c r="C1158" t="s">
        <v>51</v>
      </c>
      <c r="D1158" t="s">
        <v>15</v>
      </c>
      <c r="E1158" t="s">
        <v>56</v>
      </c>
      <c r="F1158" t="s">
        <v>88</v>
      </c>
      <c r="G1158" t="s">
        <v>58</v>
      </c>
      <c r="H1158" t="s">
        <v>74</v>
      </c>
      <c r="I1158" s="3">
        <v>7488</v>
      </c>
      <c r="J1158">
        <v>5</v>
      </c>
      <c r="K1158" s="5">
        <v>0.2</v>
      </c>
      <c r="L1158" s="3">
        <v>270.94</v>
      </c>
      <c r="M1158" t="s">
        <v>20</v>
      </c>
      <c r="N1158">
        <f t="shared" si="36"/>
        <v>2024</v>
      </c>
      <c r="O1158" t="str">
        <f t="shared" si="37"/>
        <v>March</v>
      </c>
    </row>
    <row r="1159" spans="1:15" x14ac:dyDescent="0.2">
      <c r="A1159" t="s">
        <v>1268</v>
      </c>
      <c r="B1159" s="7">
        <v>45911</v>
      </c>
      <c r="C1159" t="s">
        <v>45</v>
      </c>
      <c r="D1159" t="s">
        <v>15</v>
      </c>
      <c r="E1159" t="s">
        <v>46</v>
      </c>
      <c r="F1159" t="s">
        <v>47</v>
      </c>
      <c r="G1159" t="s">
        <v>18</v>
      </c>
      <c r="H1159" t="s">
        <v>19</v>
      </c>
      <c r="I1159" s="3">
        <v>9437.4</v>
      </c>
      <c r="J1159">
        <v>7</v>
      </c>
      <c r="K1159" s="5">
        <v>0.1</v>
      </c>
      <c r="L1159" s="3">
        <v>2097.6</v>
      </c>
      <c r="M1159" t="s">
        <v>27</v>
      </c>
      <c r="N1159">
        <f t="shared" si="36"/>
        <v>2025</v>
      </c>
      <c r="O1159" t="str">
        <f t="shared" si="37"/>
        <v>September</v>
      </c>
    </row>
    <row r="1160" spans="1:15" x14ac:dyDescent="0.2">
      <c r="A1160" t="s">
        <v>1269</v>
      </c>
      <c r="B1160" s="7">
        <v>45837</v>
      </c>
      <c r="C1160" t="s">
        <v>51</v>
      </c>
      <c r="D1160" t="s">
        <v>30</v>
      </c>
      <c r="E1160" t="s">
        <v>72</v>
      </c>
      <c r="F1160" t="s">
        <v>73</v>
      </c>
      <c r="G1160" t="s">
        <v>58</v>
      </c>
      <c r="H1160" t="s">
        <v>59</v>
      </c>
      <c r="I1160" s="3">
        <v>30204.75</v>
      </c>
      <c r="J1160">
        <v>3</v>
      </c>
      <c r="K1160" s="5">
        <v>0.15</v>
      </c>
      <c r="L1160" s="3">
        <v>7175</v>
      </c>
      <c r="M1160" t="s">
        <v>35</v>
      </c>
      <c r="N1160">
        <f t="shared" si="36"/>
        <v>2025</v>
      </c>
      <c r="O1160" t="str">
        <f t="shared" si="37"/>
        <v>June</v>
      </c>
    </row>
    <row r="1161" spans="1:15" x14ac:dyDescent="0.2">
      <c r="A1161" t="s">
        <v>1270</v>
      </c>
      <c r="B1161" s="7">
        <v>45623</v>
      </c>
      <c r="C1161" t="s">
        <v>76</v>
      </c>
      <c r="D1161" t="s">
        <v>15</v>
      </c>
      <c r="E1161" t="s">
        <v>16</v>
      </c>
      <c r="F1161" t="s">
        <v>204</v>
      </c>
      <c r="G1161" t="s">
        <v>42</v>
      </c>
      <c r="H1161" t="s">
        <v>119</v>
      </c>
      <c r="I1161" s="3">
        <v>4648.5</v>
      </c>
      <c r="J1161">
        <v>5</v>
      </c>
      <c r="K1161" s="5">
        <v>0.1</v>
      </c>
      <c r="L1161" s="3">
        <v>1117.33</v>
      </c>
      <c r="M1161" t="s">
        <v>35</v>
      </c>
      <c r="N1161">
        <f t="shared" si="36"/>
        <v>2024</v>
      </c>
      <c r="O1161" t="str">
        <f t="shared" si="37"/>
        <v>November</v>
      </c>
    </row>
    <row r="1162" spans="1:15" x14ac:dyDescent="0.2">
      <c r="A1162" t="s">
        <v>1271</v>
      </c>
      <c r="B1162" s="7">
        <v>45434</v>
      </c>
      <c r="C1162" t="s">
        <v>68</v>
      </c>
      <c r="D1162" t="s">
        <v>23</v>
      </c>
      <c r="E1162" t="s">
        <v>79</v>
      </c>
      <c r="F1162" t="s">
        <v>80</v>
      </c>
      <c r="G1162" t="s">
        <v>42</v>
      </c>
      <c r="H1162" t="s">
        <v>98</v>
      </c>
      <c r="I1162" s="3">
        <v>129362.45</v>
      </c>
      <c r="J1162">
        <v>7</v>
      </c>
      <c r="K1162" s="5">
        <v>0.05</v>
      </c>
      <c r="L1162" s="3">
        <v>28610.16</v>
      </c>
      <c r="M1162" t="s">
        <v>40</v>
      </c>
      <c r="N1162">
        <f t="shared" si="36"/>
        <v>2024</v>
      </c>
      <c r="O1162" t="str">
        <f t="shared" si="37"/>
        <v>May</v>
      </c>
    </row>
    <row r="1163" spans="1:15" x14ac:dyDescent="0.2">
      <c r="A1163" t="s">
        <v>1272</v>
      </c>
      <c r="B1163" s="7">
        <v>45940</v>
      </c>
      <c r="C1163" t="s">
        <v>45</v>
      </c>
      <c r="D1163" t="s">
        <v>15</v>
      </c>
      <c r="E1163" t="s">
        <v>65</v>
      </c>
      <c r="F1163" t="s">
        <v>66</v>
      </c>
      <c r="G1163" t="s">
        <v>42</v>
      </c>
      <c r="H1163" t="s">
        <v>98</v>
      </c>
      <c r="I1163" s="3">
        <v>3166.35</v>
      </c>
      <c r="J1163">
        <v>3</v>
      </c>
      <c r="K1163" s="5">
        <v>0.05</v>
      </c>
      <c r="L1163" s="3">
        <v>592.51</v>
      </c>
      <c r="M1163" t="s">
        <v>40</v>
      </c>
      <c r="N1163">
        <f t="shared" si="36"/>
        <v>2025</v>
      </c>
      <c r="O1163" t="str">
        <f t="shared" si="37"/>
        <v>October</v>
      </c>
    </row>
    <row r="1164" spans="1:15" x14ac:dyDescent="0.2">
      <c r="A1164" t="s">
        <v>1273</v>
      </c>
      <c r="B1164" s="7">
        <v>45441</v>
      </c>
      <c r="C1164" t="s">
        <v>68</v>
      </c>
      <c r="D1164" t="s">
        <v>15</v>
      </c>
      <c r="E1164" t="s">
        <v>61</v>
      </c>
      <c r="F1164" t="s">
        <v>62</v>
      </c>
      <c r="G1164" t="s">
        <v>42</v>
      </c>
      <c r="H1164" t="s">
        <v>98</v>
      </c>
      <c r="I1164" s="3">
        <v>16503.599999999999</v>
      </c>
      <c r="J1164">
        <v>8</v>
      </c>
      <c r="K1164" s="5">
        <v>0.15</v>
      </c>
      <c r="L1164" s="3">
        <v>2475.2399999999998</v>
      </c>
      <c r="M1164" t="s">
        <v>35</v>
      </c>
      <c r="N1164">
        <f t="shared" si="36"/>
        <v>2024</v>
      </c>
      <c r="O1164" t="str">
        <f t="shared" si="37"/>
        <v>May</v>
      </c>
    </row>
    <row r="1165" spans="1:15" x14ac:dyDescent="0.2">
      <c r="A1165" t="s">
        <v>1274</v>
      </c>
      <c r="B1165" s="7">
        <v>45757</v>
      </c>
      <c r="C1165" t="s">
        <v>51</v>
      </c>
      <c r="D1165" t="s">
        <v>23</v>
      </c>
      <c r="E1165" t="s">
        <v>79</v>
      </c>
      <c r="F1165" t="s">
        <v>93</v>
      </c>
      <c r="G1165" t="s">
        <v>18</v>
      </c>
      <c r="H1165" t="s">
        <v>63</v>
      </c>
      <c r="I1165" s="3">
        <v>8908.2000000000007</v>
      </c>
      <c r="J1165">
        <v>7</v>
      </c>
      <c r="K1165" s="5">
        <v>0.1</v>
      </c>
      <c r="L1165" s="3">
        <v>2142.9699999999998</v>
      </c>
      <c r="M1165" t="s">
        <v>35</v>
      </c>
      <c r="N1165">
        <f t="shared" si="36"/>
        <v>2025</v>
      </c>
      <c r="O1165" t="str">
        <f t="shared" si="37"/>
        <v>April</v>
      </c>
    </row>
    <row r="1166" spans="1:15" x14ac:dyDescent="0.2">
      <c r="A1166" t="s">
        <v>1275</v>
      </c>
      <c r="B1166" s="7">
        <v>45612</v>
      </c>
      <c r="C1166" t="s">
        <v>37</v>
      </c>
      <c r="D1166" t="s">
        <v>30</v>
      </c>
      <c r="E1166" t="s">
        <v>72</v>
      </c>
      <c r="F1166" t="s">
        <v>207</v>
      </c>
      <c r="G1166" t="s">
        <v>58</v>
      </c>
      <c r="H1166" t="s">
        <v>74</v>
      </c>
      <c r="I1166" s="3">
        <v>14314.85</v>
      </c>
      <c r="J1166">
        <v>1</v>
      </c>
      <c r="K1166" s="5">
        <v>0.15</v>
      </c>
      <c r="L1166" s="3">
        <v>1859.99</v>
      </c>
      <c r="M1166" t="s">
        <v>40</v>
      </c>
      <c r="N1166">
        <f t="shared" si="36"/>
        <v>2024</v>
      </c>
      <c r="O1166" t="str">
        <f t="shared" si="37"/>
        <v>November</v>
      </c>
    </row>
    <row r="1167" spans="1:15" x14ac:dyDescent="0.2">
      <c r="A1167" t="s">
        <v>1276</v>
      </c>
      <c r="B1167" s="7">
        <v>45390</v>
      </c>
      <c r="C1167" t="s">
        <v>22</v>
      </c>
      <c r="D1167" t="s">
        <v>23</v>
      </c>
      <c r="E1167" t="s">
        <v>82</v>
      </c>
      <c r="F1167" t="s">
        <v>265</v>
      </c>
      <c r="G1167" t="s">
        <v>42</v>
      </c>
      <c r="H1167" t="s">
        <v>102</v>
      </c>
      <c r="I1167" s="3">
        <v>31001.599999999999</v>
      </c>
      <c r="J1167">
        <v>2</v>
      </c>
      <c r="K1167" s="5">
        <v>0.2</v>
      </c>
      <c r="L1167" s="3">
        <v>2594.3000000000002</v>
      </c>
      <c r="M1167" t="s">
        <v>40</v>
      </c>
      <c r="N1167">
        <f t="shared" si="36"/>
        <v>2024</v>
      </c>
      <c r="O1167" t="str">
        <f t="shared" si="37"/>
        <v>April</v>
      </c>
    </row>
    <row r="1168" spans="1:15" x14ac:dyDescent="0.2">
      <c r="A1168" t="s">
        <v>1277</v>
      </c>
      <c r="B1168" s="7">
        <v>45517</v>
      </c>
      <c r="C1168" t="s">
        <v>90</v>
      </c>
      <c r="D1168" t="s">
        <v>23</v>
      </c>
      <c r="E1168" t="s">
        <v>172</v>
      </c>
      <c r="F1168" t="s">
        <v>182</v>
      </c>
      <c r="G1168" t="s">
        <v>18</v>
      </c>
      <c r="H1168" t="s">
        <v>70</v>
      </c>
      <c r="I1168" s="3">
        <v>214801.8</v>
      </c>
      <c r="J1168">
        <v>6</v>
      </c>
      <c r="K1168" s="5">
        <v>0.15</v>
      </c>
      <c r="L1168" s="3">
        <v>19468.79</v>
      </c>
      <c r="M1168" t="s">
        <v>35</v>
      </c>
      <c r="N1168">
        <f t="shared" si="36"/>
        <v>2024</v>
      </c>
      <c r="O1168" t="str">
        <f t="shared" si="37"/>
        <v>August</v>
      </c>
    </row>
    <row r="1169" spans="1:15" x14ac:dyDescent="0.2">
      <c r="A1169" t="s">
        <v>1278</v>
      </c>
      <c r="B1169" s="7">
        <v>45684</v>
      </c>
      <c r="C1169" t="s">
        <v>76</v>
      </c>
      <c r="D1169" t="s">
        <v>15</v>
      </c>
      <c r="E1169" t="s">
        <v>65</v>
      </c>
      <c r="F1169" t="s">
        <v>147</v>
      </c>
      <c r="G1169" t="s">
        <v>42</v>
      </c>
      <c r="H1169" t="s">
        <v>98</v>
      </c>
      <c r="I1169" s="3">
        <v>950</v>
      </c>
      <c r="J1169">
        <v>1</v>
      </c>
      <c r="K1169" s="5">
        <v>0.05</v>
      </c>
      <c r="L1169" s="3">
        <v>217.21</v>
      </c>
      <c r="M1169" t="s">
        <v>35</v>
      </c>
      <c r="N1169">
        <f t="shared" si="36"/>
        <v>2025</v>
      </c>
      <c r="O1169" t="str">
        <f t="shared" si="37"/>
        <v>January</v>
      </c>
    </row>
    <row r="1170" spans="1:15" x14ac:dyDescent="0.2">
      <c r="A1170" t="s">
        <v>1279</v>
      </c>
      <c r="B1170" s="7">
        <v>45708</v>
      </c>
      <c r="C1170" t="s">
        <v>76</v>
      </c>
      <c r="D1170" t="s">
        <v>15</v>
      </c>
      <c r="E1170" t="s">
        <v>16</v>
      </c>
      <c r="F1170" t="s">
        <v>230</v>
      </c>
      <c r="G1170" t="s">
        <v>33</v>
      </c>
      <c r="H1170" t="s">
        <v>128</v>
      </c>
      <c r="I1170" s="3">
        <v>3050</v>
      </c>
      <c r="J1170">
        <v>5</v>
      </c>
      <c r="K1170" s="5">
        <v>0</v>
      </c>
      <c r="L1170" s="3">
        <v>394.18</v>
      </c>
      <c r="M1170" t="s">
        <v>40</v>
      </c>
      <c r="N1170">
        <f t="shared" si="36"/>
        <v>2025</v>
      </c>
      <c r="O1170" t="str">
        <f t="shared" si="37"/>
        <v>February</v>
      </c>
    </row>
    <row r="1171" spans="1:15" x14ac:dyDescent="0.2">
      <c r="A1171" t="s">
        <v>1280</v>
      </c>
      <c r="B1171" s="7">
        <v>45906</v>
      </c>
      <c r="C1171" t="s">
        <v>22</v>
      </c>
      <c r="D1171" t="s">
        <v>30</v>
      </c>
      <c r="E1171" t="s">
        <v>72</v>
      </c>
      <c r="F1171" t="s">
        <v>217</v>
      </c>
      <c r="G1171" t="s">
        <v>33</v>
      </c>
      <c r="H1171" t="s">
        <v>48</v>
      </c>
      <c r="I1171" s="3">
        <v>4063.5</v>
      </c>
      <c r="J1171">
        <v>5</v>
      </c>
      <c r="K1171" s="5">
        <v>0.1</v>
      </c>
      <c r="L1171" s="3">
        <v>577.16999999999996</v>
      </c>
      <c r="M1171" t="s">
        <v>49</v>
      </c>
      <c r="N1171">
        <f t="shared" si="36"/>
        <v>2025</v>
      </c>
      <c r="O1171" t="str">
        <f t="shared" si="37"/>
        <v>September</v>
      </c>
    </row>
    <row r="1172" spans="1:15" x14ac:dyDescent="0.2">
      <c r="A1172" t="s">
        <v>1281</v>
      </c>
      <c r="B1172" s="7">
        <v>45315</v>
      </c>
      <c r="C1172" t="s">
        <v>51</v>
      </c>
      <c r="D1172" t="s">
        <v>23</v>
      </c>
      <c r="E1172" t="s">
        <v>24</v>
      </c>
      <c r="F1172" t="s">
        <v>86</v>
      </c>
      <c r="G1172" t="s">
        <v>18</v>
      </c>
      <c r="H1172" t="s">
        <v>70</v>
      </c>
      <c r="I1172" s="3">
        <v>193286.39999999999</v>
      </c>
      <c r="J1172">
        <v>8</v>
      </c>
      <c r="K1172" s="5">
        <v>0.2</v>
      </c>
      <c r="L1172" s="3">
        <v>34818.39</v>
      </c>
      <c r="M1172" t="s">
        <v>27</v>
      </c>
      <c r="N1172">
        <f t="shared" si="36"/>
        <v>2024</v>
      </c>
      <c r="O1172" t="str">
        <f t="shared" si="37"/>
        <v>January</v>
      </c>
    </row>
    <row r="1173" spans="1:15" x14ac:dyDescent="0.2">
      <c r="A1173" t="s">
        <v>1282</v>
      </c>
      <c r="B1173" s="7">
        <v>45673</v>
      </c>
      <c r="C1173" t="s">
        <v>55</v>
      </c>
      <c r="D1173" t="s">
        <v>23</v>
      </c>
      <c r="E1173" t="s">
        <v>38</v>
      </c>
      <c r="F1173" t="s">
        <v>91</v>
      </c>
      <c r="G1173" t="s">
        <v>58</v>
      </c>
      <c r="H1173" t="s">
        <v>84</v>
      </c>
      <c r="I1173" s="3">
        <v>28818.400000000001</v>
      </c>
      <c r="J1173">
        <v>1</v>
      </c>
      <c r="K1173" s="5">
        <v>0.15</v>
      </c>
      <c r="L1173" s="3">
        <v>4720.76</v>
      </c>
      <c r="M1173" t="s">
        <v>20</v>
      </c>
      <c r="N1173">
        <f t="shared" si="36"/>
        <v>2025</v>
      </c>
      <c r="O1173" t="str">
        <f t="shared" si="37"/>
        <v>January</v>
      </c>
    </row>
    <row r="1174" spans="1:15" x14ac:dyDescent="0.2">
      <c r="A1174" t="s">
        <v>1283</v>
      </c>
      <c r="B1174" s="7">
        <v>45589</v>
      </c>
      <c r="C1174" t="s">
        <v>76</v>
      </c>
      <c r="D1174" t="s">
        <v>15</v>
      </c>
      <c r="E1174" t="s">
        <v>61</v>
      </c>
      <c r="F1174" t="s">
        <v>111</v>
      </c>
      <c r="G1174" t="s">
        <v>33</v>
      </c>
      <c r="H1174" t="s">
        <v>109</v>
      </c>
      <c r="I1174" s="3">
        <v>6332.4</v>
      </c>
      <c r="J1174">
        <v>4</v>
      </c>
      <c r="K1174" s="5">
        <v>0.1</v>
      </c>
      <c r="L1174" s="3">
        <v>663.34</v>
      </c>
      <c r="M1174" t="s">
        <v>49</v>
      </c>
      <c r="N1174">
        <f t="shared" si="36"/>
        <v>2024</v>
      </c>
      <c r="O1174" t="str">
        <f t="shared" si="37"/>
        <v>October</v>
      </c>
    </row>
    <row r="1175" spans="1:15" x14ac:dyDescent="0.2">
      <c r="A1175" t="s">
        <v>1284</v>
      </c>
      <c r="B1175" s="7">
        <v>45682</v>
      </c>
      <c r="C1175" t="s">
        <v>14</v>
      </c>
      <c r="D1175" t="s">
        <v>15</v>
      </c>
      <c r="E1175" t="s">
        <v>61</v>
      </c>
      <c r="F1175" t="s">
        <v>144</v>
      </c>
      <c r="G1175" t="s">
        <v>18</v>
      </c>
      <c r="H1175" t="s">
        <v>26</v>
      </c>
      <c r="I1175" s="3">
        <v>2707.2</v>
      </c>
      <c r="J1175">
        <v>2</v>
      </c>
      <c r="K1175" s="5">
        <v>0.2</v>
      </c>
      <c r="L1175" s="3">
        <v>268.11</v>
      </c>
      <c r="M1175" t="s">
        <v>49</v>
      </c>
      <c r="N1175">
        <f t="shared" si="36"/>
        <v>2025</v>
      </c>
      <c r="O1175" t="str">
        <f t="shared" si="37"/>
        <v>January</v>
      </c>
    </row>
    <row r="1176" spans="1:15" x14ac:dyDescent="0.2">
      <c r="A1176" t="s">
        <v>1285</v>
      </c>
      <c r="B1176" s="7">
        <v>45558</v>
      </c>
      <c r="C1176" t="s">
        <v>29</v>
      </c>
      <c r="D1176" t="s">
        <v>30</v>
      </c>
      <c r="E1176" t="s">
        <v>122</v>
      </c>
      <c r="F1176" t="s">
        <v>160</v>
      </c>
      <c r="G1176" t="s">
        <v>58</v>
      </c>
      <c r="H1176" t="s">
        <v>95</v>
      </c>
      <c r="I1176" s="3">
        <v>37300.5</v>
      </c>
      <c r="J1176">
        <v>5</v>
      </c>
      <c r="K1176" s="5">
        <v>0.1</v>
      </c>
      <c r="L1176" s="3">
        <v>8852.14</v>
      </c>
      <c r="M1176" t="s">
        <v>40</v>
      </c>
      <c r="N1176">
        <f t="shared" si="36"/>
        <v>2024</v>
      </c>
      <c r="O1176" t="str">
        <f t="shared" si="37"/>
        <v>September</v>
      </c>
    </row>
    <row r="1177" spans="1:15" x14ac:dyDescent="0.2">
      <c r="A1177" t="s">
        <v>1286</v>
      </c>
      <c r="B1177" s="7">
        <v>46004</v>
      </c>
      <c r="C1177" t="s">
        <v>51</v>
      </c>
      <c r="D1177" t="s">
        <v>23</v>
      </c>
      <c r="E1177" t="s">
        <v>24</v>
      </c>
      <c r="F1177" t="s">
        <v>86</v>
      </c>
      <c r="G1177" t="s">
        <v>33</v>
      </c>
      <c r="H1177" t="s">
        <v>128</v>
      </c>
      <c r="I1177" s="3">
        <v>24760.799999999999</v>
      </c>
      <c r="J1177">
        <v>6</v>
      </c>
      <c r="K1177" s="5">
        <v>0.05</v>
      </c>
      <c r="L1177" s="3">
        <v>2128.8200000000002</v>
      </c>
      <c r="M1177" t="s">
        <v>20</v>
      </c>
      <c r="N1177">
        <f t="shared" si="36"/>
        <v>2025</v>
      </c>
      <c r="O1177" t="str">
        <f t="shared" si="37"/>
        <v>December</v>
      </c>
    </row>
    <row r="1178" spans="1:15" x14ac:dyDescent="0.2">
      <c r="A1178" t="s">
        <v>1287</v>
      </c>
      <c r="B1178" s="7">
        <v>45611</v>
      </c>
      <c r="C1178" t="s">
        <v>55</v>
      </c>
      <c r="D1178" t="s">
        <v>30</v>
      </c>
      <c r="E1178" t="s">
        <v>52</v>
      </c>
      <c r="F1178" t="s">
        <v>53</v>
      </c>
      <c r="G1178" t="s">
        <v>42</v>
      </c>
      <c r="H1178" t="s">
        <v>43</v>
      </c>
      <c r="I1178" s="3">
        <v>71644.25</v>
      </c>
      <c r="J1178">
        <v>5</v>
      </c>
      <c r="K1178" s="5">
        <v>0.05</v>
      </c>
      <c r="L1178" s="3">
        <v>8118.56</v>
      </c>
      <c r="M1178" t="s">
        <v>35</v>
      </c>
      <c r="N1178">
        <f t="shared" si="36"/>
        <v>2024</v>
      </c>
      <c r="O1178" t="str">
        <f t="shared" si="37"/>
        <v>November</v>
      </c>
    </row>
    <row r="1179" spans="1:15" x14ac:dyDescent="0.2">
      <c r="A1179" t="s">
        <v>1288</v>
      </c>
      <c r="B1179" s="7">
        <v>45492</v>
      </c>
      <c r="C1179" t="s">
        <v>90</v>
      </c>
      <c r="D1179" t="s">
        <v>23</v>
      </c>
      <c r="E1179" t="s">
        <v>24</v>
      </c>
      <c r="F1179" t="s">
        <v>25</v>
      </c>
      <c r="G1179" t="s">
        <v>18</v>
      </c>
      <c r="H1179" t="s">
        <v>70</v>
      </c>
      <c r="I1179" s="3">
        <v>57256.5</v>
      </c>
      <c r="J1179">
        <v>3</v>
      </c>
      <c r="K1179" s="5">
        <v>0.05</v>
      </c>
      <c r="L1179" s="3">
        <v>6570.13</v>
      </c>
      <c r="M1179" t="s">
        <v>20</v>
      </c>
      <c r="N1179">
        <f t="shared" si="36"/>
        <v>2024</v>
      </c>
      <c r="O1179" t="str">
        <f t="shared" si="37"/>
        <v>July</v>
      </c>
    </row>
    <row r="1180" spans="1:15" x14ac:dyDescent="0.2">
      <c r="A1180" t="s">
        <v>1289</v>
      </c>
      <c r="B1180" s="7">
        <v>45448</v>
      </c>
      <c r="C1180" t="s">
        <v>51</v>
      </c>
      <c r="D1180" t="s">
        <v>23</v>
      </c>
      <c r="E1180" t="s">
        <v>82</v>
      </c>
      <c r="F1180" t="s">
        <v>240</v>
      </c>
      <c r="G1180" t="s">
        <v>42</v>
      </c>
      <c r="H1180" t="s">
        <v>98</v>
      </c>
      <c r="I1180" s="3">
        <v>94060.800000000003</v>
      </c>
      <c r="J1180">
        <v>2</v>
      </c>
      <c r="K1180" s="5">
        <v>0.1</v>
      </c>
      <c r="L1180" s="3">
        <v>18778.46</v>
      </c>
      <c r="M1180" t="s">
        <v>40</v>
      </c>
      <c r="N1180">
        <f t="shared" si="36"/>
        <v>2024</v>
      </c>
      <c r="O1180" t="str">
        <f t="shared" si="37"/>
        <v>June</v>
      </c>
    </row>
    <row r="1181" spans="1:15" x14ac:dyDescent="0.2">
      <c r="A1181" t="s">
        <v>1290</v>
      </c>
      <c r="B1181" s="7">
        <v>45341</v>
      </c>
      <c r="C1181" t="s">
        <v>29</v>
      </c>
      <c r="D1181" t="s">
        <v>23</v>
      </c>
      <c r="E1181" t="s">
        <v>82</v>
      </c>
      <c r="F1181" t="s">
        <v>83</v>
      </c>
      <c r="G1181" t="s">
        <v>42</v>
      </c>
      <c r="H1181" t="s">
        <v>98</v>
      </c>
      <c r="I1181" s="3">
        <v>28922.95</v>
      </c>
      <c r="J1181">
        <v>1</v>
      </c>
      <c r="K1181" s="5">
        <v>0.15</v>
      </c>
      <c r="L1181" s="3">
        <v>2009.85</v>
      </c>
      <c r="M1181" t="s">
        <v>40</v>
      </c>
      <c r="N1181">
        <f t="shared" si="36"/>
        <v>2024</v>
      </c>
      <c r="O1181" t="str">
        <f t="shared" si="37"/>
        <v>February</v>
      </c>
    </row>
    <row r="1182" spans="1:15" x14ac:dyDescent="0.2">
      <c r="A1182" t="s">
        <v>1291</v>
      </c>
      <c r="B1182" s="7">
        <v>45912</v>
      </c>
      <c r="C1182" t="s">
        <v>14</v>
      </c>
      <c r="D1182" t="s">
        <v>23</v>
      </c>
      <c r="E1182" t="s">
        <v>24</v>
      </c>
      <c r="F1182" t="s">
        <v>86</v>
      </c>
      <c r="G1182" t="s">
        <v>42</v>
      </c>
      <c r="H1182" t="s">
        <v>119</v>
      </c>
      <c r="I1182" s="3">
        <v>117857</v>
      </c>
      <c r="J1182">
        <v>4</v>
      </c>
      <c r="K1182" s="5">
        <v>0.05</v>
      </c>
      <c r="L1182" s="3">
        <v>11775.96</v>
      </c>
      <c r="M1182" t="s">
        <v>20</v>
      </c>
      <c r="N1182">
        <f t="shared" si="36"/>
        <v>2025</v>
      </c>
      <c r="O1182" t="str">
        <f t="shared" si="37"/>
        <v>September</v>
      </c>
    </row>
    <row r="1183" spans="1:15" x14ac:dyDescent="0.2">
      <c r="A1183" t="s">
        <v>1292</v>
      </c>
      <c r="B1183" s="7">
        <v>45829</v>
      </c>
      <c r="C1183" t="s">
        <v>29</v>
      </c>
      <c r="D1183" t="s">
        <v>30</v>
      </c>
      <c r="E1183" t="s">
        <v>31</v>
      </c>
      <c r="F1183" t="s">
        <v>97</v>
      </c>
      <c r="G1183" t="s">
        <v>18</v>
      </c>
      <c r="H1183" t="s">
        <v>19</v>
      </c>
      <c r="I1183" s="3">
        <v>87955.199999999997</v>
      </c>
      <c r="J1183">
        <v>8</v>
      </c>
      <c r="K1183" s="5">
        <v>0.2</v>
      </c>
      <c r="L1183" s="3">
        <v>15413.88</v>
      </c>
      <c r="M1183" t="s">
        <v>35</v>
      </c>
      <c r="N1183">
        <f t="shared" si="36"/>
        <v>2025</v>
      </c>
      <c r="O1183" t="str">
        <f t="shared" si="37"/>
        <v>June</v>
      </c>
    </row>
    <row r="1184" spans="1:15" x14ac:dyDescent="0.2">
      <c r="A1184" t="s">
        <v>1293</v>
      </c>
      <c r="B1184" s="7">
        <v>45503</v>
      </c>
      <c r="C1184" t="s">
        <v>37</v>
      </c>
      <c r="D1184" t="s">
        <v>30</v>
      </c>
      <c r="E1184" t="s">
        <v>72</v>
      </c>
      <c r="F1184" t="s">
        <v>73</v>
      </c>
      <c r="G1184" t="s">
        <v>58</v>
      </c>
      <c r="H1184" t="s">
        <v>84</v>
      </c>
      <c r="I1184" s="3">
        <v>114958.55</v>
      </c>
      <c r="J1184">
        <v>7</v>
      </c>
      <c r="K1184" s="5">
        <v>0.05</v>
      </c>
      <c r="L1184" s="3">
        <v>26264.32</v>
      </c>
      <c r="M1184" t="s">
        <v>35</v>
      </c>
      <c r="N1184">
        <f t="shared" si="36"/>
        <v>2024</v>
      </c>
      <c r="O1184" t="str">
        <f t="shared" si="37"/>
        <v>July</v>
      </c>
    </row>
    <row r="1185" spans="1:15" x14ac:dyDescent="0.2">
      <c r="A1185" t="s">
        <v>1294</v>
      </c>
      <c r="B1185" s="7">
        <v>45308</v>
      </c>
      <c r="C1185" t="s">
        <v>76</v>
      </c>
      <c r="D1185" t="s">
        <v>30</v>
      </c>
      <c r="E1185" t="s">
        <v>104</v>
      </c>
      <c r="F1185" t="s">
        <v>137</v>
      </c>
      <c r="G1185" t="s">
        <v>18</v>
      </c>
      <c r="H1185" t="s">
        <v>63</v>
      </c>
      <c r="I1185" s="3">
        <v>82164.600000000006</v>
      </c>
      <c r="J1185">
        <v>7</v>
      </c>
      <c r="K1185" s="5">
        <v>0.1</v>
      </c>
      <c r="L1185" s="3">
        <v>12525.53</v>
      </c>
      <c r="M1185" t="s">
        <v>49</v>
      </c>
      <c r="N1185">
        <f t="shared" si="36"/>
        <v>2024</v>
      </c>
      <c r="O1185" t="str">
        <f t="shared" si="37"/>
        <v>January</v>
      </c>
    </row>
    <row r="1186" spans="1:15" x14ac:dyDescent="0.2">
      <c r="A1186" t="s">
        <v>1295</v>
      </c>
      <c r="B1186" s="7">
        <v>45741</v>
      </c>
      <c r="C1186" t="s">
        <v>68</v>
      </c>
      <c r="D1186" t="s">
        <v>15</v>
      </c>
      <c r="E1186" t="s">
        <v>46</v>
      </c>
      <c r="F1186" t="s">
        <v>116</v>
      </c>
      <c r="G1186" t="s">
        <v>58</v>
      </c>
      <c r="H1186" t="s">
        <v>74</v>
      </c>
      <c r="I1186" s="3">
        <v>3410</v>
      </c>
      <c r="J1186">
        <v>5</v>
      </c>
      <c r="K1186" s="5">
        <v>0</v>
      </c>
      <c r="L1186" s="3">
        <v>886.94</v>
      </c>
      <c r="M1186" t="s">
        <v>49</v>
      </c>
      <c r="N1186">
        <f t="shared" si="36"/>
        <v>2025</v>
      </c>
      <c r="O1186" t="str">
        <f t="shared" si="37"/>
        <v>March</v>
      </c>
    </row>
    <row r="1187" spans="1:15" x14ac:dyDescent="0.2">
      <c r="A1187" t="s">
        <v>1296</v>
      </c>
      <c r="B1187" s="7">
        <v>45947</v>
      </c>
      <c r="C1187" t="s">
        <v>37</v>
      </c>
      <c r="D1187" t="s">
        <v>30</v>
      </c>
      <c r="E1187" t="s">
        <v>122</v>
      </c>
      <c r="F1187" t="s">
        <v>131</v>
      </c>
      <c r="G1187" t="s">
        <v>58</v>
      </c>
      <c r="H1187" t="s">
        <v>84</v>
      </c>
      <c r="I1187" s="3">
        <v>109622.39999999999</v>
      </c>
      <c r="J1187">
        <v>8</v>
      </c>
      <c r="K1187" s="5">
        <v>0.05</v>
      </c>
      <c r="L1187" s="3">
        <v>28177.9</v>
      </c>
      <c r="M1187" t="s">
        <v>27</v>
      </c>
      <c r="N1187">
        <f t="shared" si="36"/>
        <v>2025</v>
      </c>
      <c r="O1187" t="str">
        <f t="shared" si="37"/>
        <v>October</v>
      </c>
    </row>
    <row r="1188" spans="1:15" x14ac:dyDescent="0.2">
      <c r="A1188" t="s">
        <v>1297</v>
      </c>
      <c r="B1188" s="7">
        <v>45333</v>
      </c>
      <c r="C1188" t="s">
        <v>29</v>
      </c>
      <c r="D1188" t="s">
        <v>30</v>
      </c>
      <c r="E1188" t="s">
        <v>52</v>
      </c>
      <c r="F1188" t="s">
        <v>127</v>
      </c>
      <c r="G1188" t="s">
        <v>42</v>
      </c>
      <c r="H1188" t="s">
        <v>43</v>
      </c>
      <c r="I1188" s="3">
        <v>58419.199999999997</v>
      </c>
      <c r="J1188">
        <v>7</v>
      </c>
      <c r="K1188" s="5">
        <v>0.2</v>
      </c>
      <c r="L1188" s="3">
        <v>8197.4599999999991</v>
      </c>
      <c r="M1188" t="s">
        <v>20</v>
      </c>
      <c r="N1188">
        <f t="shared" si="36"/>
        <v>2024</v>
      </c>
      <c r="O1188" t="str">
        <f t="shared" si="37"/>
        <v>February</v>
      </c>
    </row>
    <row r="1189" spans="1:15" x14ac:dyDescent="0.2">
      <c r="A1189" t="s">
        <v>1298</v>
      </c>
      <c r="B1189" s="7">
        <v>45317</v>
      </c>
      <c r="C1189" t="s">
        <v>51</v>
      </c>
      <c r="D1189" t="s">
        <v>30</v>
      </c>
      <c r="E1189" t="s">
        <v>104</v>
      </c>
      <c r="F1189" t="s">
        <v>170</v>
      </c>
      <c r="G1189" t="s">
        <v>33</v>
      </c>
      <c r="H1189" t="s">
        <v>34</v>
      </c>
      <c r="I1189" s="3">
        <v>9885.6</v>
      </c>
      <c r="J1189">
        <v>3</v>
      </c>
      <c r="K1189" s="5">
        <v>0.2</v>
      </c>
      <c r="L1189" s="3">
        <v>829.62</v>
      </c>
      <c r="M1189" t="s">
        <v>40</v>
      </c>
      <c r="N1189">
        <f t="shared" si="36"/>
        <v>2024</v>
      </c>
      <c r="O1189" t="str">
        <f t="shared" si="37"/>
        <v>January</v>
      </c>
    </row>
    <row r="1190" spans="1:15" x14ac:dyDescent="0.2">
      <c r="A1190" t="s">
        <v>1299</v>
      </c>
      <c r="B1190" s="7">
        <v>45668</v>
      </c>
      <c r="C1190" t="s">
        <v>14</v>
      </c>
      <c r="D1190" t="s">
        <v>15</v>
      </c>
      <c r="E1190" t="s">
        <v>56</v>
      </c>
      <c r="F1190" t="s">
        <v>57</v>
      </c>
      <c r="G1190" t="s">
        <v>42</v>
      </c>
      <c r="H1190" t="s">
        <v>102</v>
      </c>
      <c r="I1190" s="3">
        <v>8517.6</v>
      </c>
      <c r="J1190">
        <v>7</v>
      </c>
      <c r="K1190" s="5">
        <v>0.2</v>
      </c>
      <c r="L1190" s="3">
        <v>811.8</v>
      </c>
      <c r="M1190" t="s">
        <v>35</v>
      </c>
      <c r="N1190">
        <f t="shared" si="36"/>
        <v>2025</v>
      </c>
      <c r="O1190" t="str">
        <f t="shared" si="37"/>
        <v>January</v>
      </c>
    </row>
    <row r="1191" spans="1:15" x14ac:dyDescent="0.2">
      <c r="A1191" t="s">
        <v>1300</v>
      </c>
      <c r="B1191" s="7">
        <v>45678</v>
      </c>
      <c r="C1191" t="s">
        <v>45</v>
      </c>
      <c r="D1191" t="s">
        <v>15</v>
      </c>
      <c r="E1191" t="s">
        <v>16</v>
      </c>
      <c r="F1191" t="s">
        <v>204</v>
      </c>
      <c r="G1191" t="s">
        <v>58</v>
      </c>
      <c r="H1191" t="s">
        <v>59</v>
      </c>
      <c r="I1191" s="3">
        <v>356.25</v>
      </c>
      <c r="J1191">
        <v>1</v>
      </c>
      <c r="K1191" s="5">
        <v>0.05</v>
      </c>
      <c r="L1191" s="3">
        <v>90.52</v>
      </c>
      <c r="M1191" t="s">
        <v>49</v>
      </c>
      <c r="N1191">
        <f t="shared" si="36"/>
        <v>2025</v>
      </c>
      <c r="O1191" t="str">
        <f t="shared" si="37"/>
        <v>January</v>
      </c>
    </row>
    <row r="1192" spans="1:15" x14ac:dyDescent="0.2">
      <c r="A1192" t="s">
        <v>1301</v>
      </c>
      <c r="B1192" s="7">
        <v>45337</v>
      </c>
      <c r="C1192" t="s">
        <v>68</v>
      </c>
      <c r="D1192" t="s">
        <v>15</v>
      </c>
      <c r="E1192" t="s">
        <v>65</v>
      </c>
      <c r="F1192" t="s">
        <v>147</v>
      </c>
      <c r="G1192" t="s">
        <v>33</v>
      </c>
      <c r="H1192" t="s">
        <v>48</v>
      </c>
      <c r="I1192" s="3">
        <v>2089.3000000000002</v>
      </c>
      <c r="J1192">
        <v>2</v>
      </c>
      <c r="K1192" s="5">
        <v>0.15</v>
      </c>
      <c r="L1192" s="3">
        <v>180.82</v>
      </c>
      <c r="M1192" t="s">
        <v>20</v>
      </c>
      <c r="N1192">
        <f t="shared" si="36"/>
        <v>2024</v>
      </c>
      <c r="O1192" t="str">
        <f t="shared" si="37"/>
        <v>February</v>
      </c>
    </row>
    <row r="1193" spans="1:15" x14ac:dyDescent="0.2">
      <c r="A1193" t="s">
        <v>1302</v>
      </c>
      <c r="B1193" s="7">
        <v>45459</v>
      </c>
      <c r="C1193" t="s">
        <v>14</v>
      </c>
      <c r="D1193" t="s">
        <v>23</v>
      </c>
      <c r="E1193" t="s">
        <v>24</v>
      </c>
      <c r="F1193" t="s">
        <v>86</v>
      </c>
      <c r="G1193" t="s">
        <v>58</v>
      </c>
      <c r="H1193" t="s">
        <v>74</v>
      </c>
      <c r="I1193" s="3">
        <v>87534</v>
      </c>
      <c r="J1193">
        <v>3</v>
      </c>
      <c r="K1193" s="5">
        <v>0</v>
      </c>
      <c r="L1193" s="3">
        <v>24352.42</v>
      </c>
      <c r="M1193" t="s">
        <v>27</v>
      </c>
      <c r="N1193">
        <f t="shared" si="36"/>
        <v>2024</v>
      </c>
      <c r="O1193" t="str">
        <f t="shared" si="37"/>
        <v>June</v>
      </c>
    </row>
    <row r="1194" spans="1:15" x14ac:dyDescent="0.2">
      <c r="A1194" t="s">
        <v>1303</v>
      </c>
      <c r="B1194" s="7">
        <v>45642</v>
      </c>
      <c r="C1194" t="s">
        <v>90</v>
      </c>
      <c r="D1194" t="s">
        <v>15</v>
      </c>
      <c r="E1194" t="s">
        <v>61</v>
      </c>
      <c r="F1194" t="s">
        <v>62</v>
      </c>
      <c r="G1194" t="s">
        <v>18</v>
      </c>
      <c r="H1194" t="s">
        <v>26</v>
      </c>
      <c r="I1194" s="3">
        <v>1701</v>
      </c>
      <c r="J1194">
        <v>3</v>
      </c>
      <c r="K1194" s="5">
        <v>0</v>
      </c>
      <c r="L1194" s="3">
        <v>363.82</v>
      </c>
      <c r="M1194" t="s">
        <v>27</v>
      </c>
      <c r="N1194">
        <f t="shared" si="36"/>
        <v>2024</v>
      </c>
      <c r="O1194" t="str">
        <f t="shared" si="37"/>
        <v>December</v>
      </c>
    </row>
    <row r="1195" spans="1:15" x14ac:dyDescent="0.2">
      <c r="A1195" t="s">
        <v>1304</v>
      </c>
      <c r="B1195" s="7">
        <v>45543</v>
      </c>
      <c r="C1195" t="s">
        <v>76</v>
      </c>
      <c r="D1195" t="s">
        <v>30</v>
      </c>
      <c r="E1195" t="s">
        <v>104</v>
      </c>
      <c r="F1195" t="s">
        <v>170</v>
      </c>
      <c r="G1195" t="s">
        <v>42</v>
      </c>
      <c r="H1195" t="s">
        <v>119</v>
      </c>
      <c r="I1195" s="3">
        <v>42816</v>
      </c>
      <c r="J1195">
        <v>3</v>
      </c>
      <c r="K1195" s="5">
        <v>0.2</v>
      </c>
      <c r="L1195" s="3">
        <v>7949.19</v>
      </c>
      <c r="M1195" t="s">
        <v>20</v>
      </c>
      <c r="N1195">
        <f t="shared" si="36"/>
        <v>2024</v>
      </c>
      <c r="O1195" t="str">
        <f t="shared" si="37"/>
        <v>September</v>
      </c>
    </row>
    <row r="1196" spans="1:15" x14ac:dyDescent="0.2">
      <c r="A1196" t="s">
        <v>1305</v>
      </c>
      <c r="B1196" s="7">
        <v>45555</v>
      </c>
      <c r="C1196" t="s">
        <v>37</v>
      </c>
      <c r="D1196" t="s">
        <v>30</v>
      </c>
      <c r="E1196" t="s">
        <v>122</v>
      </c>
      <c r="F1196" t="s">
        <v>123</v>
      </c>
      <c r="G1196" t="s">
        <v>42</v>
      </c>
      <c r="H1196" t="s">
        <v>119</v>
      </c>
      <c r="I1196" s="3">
        <v>56244</v>
      </c>
      <c r="J1196">
        <v>5</v>
      </c>
      <c r="K1196" s="5">
        <v>0.2</v>
      </c>
      <c r="L1196" s="3">
        <v>5065.8100000000004</v>
      </c>
      <c r="M1196" t="s">
        <v>40</v>
      </c>
      <c r="N1196">
        <f t="shared" si="36"/>
        <v>2024</v>
      </c>
      <c r="O1196" t="str">
        <f t="shared" si="37"/>
        <v>September</v>
      </c>
    </row>
    <row r="1197" spans="1:15" x14ac:dyDescent="0.2">
      <c r="A1197" t="s">
        <v>1306</v>
      </c>
      <c r="B1197" s="7">
        <v>45701</v>
      </c>
      <c r="C1197" t="s">
        <v>22</v>
      </c>
      <c r="D1197" t="s">
        <v>15</v>
      </c>
      <c r="E1197" t="s">
        <v>46</v>
      </c>
      <c r="F1197" t="s">
        <v>47</v>
      </c>
      <c r="G1197" t="s">
        <v>33</v>
      </c>
      <c r="H1197" t="s">
        <v>48</v>
      </c>
      <c r="I1197" s="3">
        <v>5568</v>
      </c>
      <c r="J1197">
        <v>3</v>
      </c>
      <c r="K1197" s="5">
        <v>0.2</v>
      </c>
      <c r="L1197" s="3">
        <v>571.27</v>
      </c>
      <c r="M1197" t="s">
        <v>35</v>
      </c>
      <c r="N1197">
        <f t="shared" si="36"/>
        <v>2025</v>
      </c>
      <c r="O1197" t="str">
        <f t="shared" si="37"/>
        <v>February</v>
      </c>
    </row>
    <row r="1198" spans="1:15" x14ac:dyDescent="0.2">
      <c r="A1198" t="s">
        <v>1307</v>
      </c>
      <c r="B1198" s="7">
        <v>45734</v>
      </c>
      <c r="C1198" t="s">
        <v>55</v>
      </c>
      <c r="D1198" t="s">
        <v>30</v>
      </c>
      <c r="E1198" t="s">
        <v>104</v>
      </c>
      <c r="F1198" t="s">
        <v>105</v>
      </c>
      <c r="G1198" t="s">
        <v>18</v>
      </c>
      <c r="H1198" t="s">
        <v>26</v>
      </c>
      <c r="I1198" s="3">
        <v>23784</v>
      </c>
      <c r="J1198">
        <v>8</v>
      </c>
      <c r="K1198" s="5">
        <v>0</v>
      </c>
      <c r="L1198" s="3">
        <v>3974.89</v>
      </c>
      <c r="M1198" t="s">
        <v>49</v>
      </c>
      <c r="N1198">
        <f t="shared" si="36"/>
        <v>2025</v>
      </c>
      <c r="O1198" t="str">
        <f t="shared" si="37"/>
        <v>March</v>
      </c>
    </row>
    <row r="1199" spans="1:15" x14ac:dyDescent="0.2">
      <c r="A1199" t="s">
        <v>1308</v>
      </c>
      <c r="B1199" s="7">
        <v>45707</v>
      </c>
      <c r="C1199" t="s">
        <v>22</v>
      </c>
      <c r="D1199" t="s">
        <v>30</v>
      </c>
      <c r="E1199" t="s">
        <v>52</v>
      </c>
      <c r="F1199" t="s">
        <v>53</v>
      </c>
      <c r="G1199" t="s">
        <v>42</v>
      </c>
      <c r="H1199" t="s">
        <v>119</v>
      </c>
      <c r="I1199" s="3">
        <v>71153.5</v>
      </c>
      <c r="J1199">
        <v>5</v>
      </c>
      <c r="K1199" s="5">
        <v>0.15</v>
      </c>
      <c r="L1199" s="3">
        <v>11397.7</v>
      </c>
      <c r="M1199" t="s">
        <v>40</v>
      </c>
      <c r="N1199">
        <f t="shared" si="36"/>
        <v>2025</v>
      </c>
      <c r="O1199" t="str">
        <f t="shared" si="37"/>
        <v>February</v>
      </c>
    </row>
    <row r="1200" spans="1:15" x14ac:dyDescent="0.2">
      <c r="A1200" t="s">
        <v>1309</v>
      </c>
      <c r="B1200" s="7">
        <v>45300</v>
      </c>
      <c r="C1200" t="s">
        <v>55</v>
      </c>
      <c r="D1200" t="s">
        <v>30</v>
      </c>
      <c r="E1200" t="s">
        <v>31</v>
      </c>
      <c r="F1200" t="s">
        <v>32</v>
      </c>
      <c r="G1200" t="s">
        <v>33</v>
      </c>
      <c r="H1200" t="s">
        <v>34</v>
      </c>
      <c r="I1200" s="3">
        <v>78888</v>
      </c>
      <c r="J1200">
        <v>6</v>
      </c>
      <c r="K1200" s="5">
        <v>0</v>
      </c>
      <c r="L1200" s="3">
        <v>7606.3</v>
      </c>
      <c r="M1200" t="s">
        <v>35</v>
      </c>
      <c r="N1200">
        <f t="shared" si="36"/>
        <v>2024</v>
      </c>
      <c r="O1200" t="str">
        <f t="shared" si="37"/>
        <v>January</v>
      </c>
    </row>
    <row r="1201" spans="1:15" x14ac:dyDescent="0.2">
      <c r="A1201" t="s">
        <v>1310</v>
      </c>
      <c r="B1201" s="7">
        <v>45667</v>
      </c>
      <c r="C1201" t="s">
        <v>45</v>
      </c>
      <c r="D1201" t="s">
        <v>30</v>
      </c>
      <c r="E1201" t="s">
        <v>122</v>
      </c>
      <c r="F1201" t="s">
        <v>131</v>
      </c>
      <c r="G1201" t="s">
        <v>18</v>
      </c>
      <c r="H1201" t="s">
        <v>26</v>
      </c>
      <c r="I1201" s="3">
        <v>6287.1</v>
      </c>
      <c r="J1201">
        <v>1</v>
      </c>
      <c r="K1201" s="5">
        <v>0.05</v>
      </c>
      <c r="L1201" s="3">
        <v>790.82</v>
      </c>
      <c r="M1201" t="s">
        <v>35</v>
      </c>
      <c r="N1201">
        <f t="shared" si="36"/>
        <v>2025</v>
      </c>
      <c r="O1201" t="str">
        <f t="shared" si="37"/>
        <v>January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B128-A932-4922-B02F-695690C2247C}">
  <dimension ref="A1:C22"/>
  <sheetViews>
    <sheetView tabSelected="1" topLeftCell="A2" workbookViewId="0">
      <selection activeCell="B27" sqref="B27"/>
    </sheetView>
  </sheetViews>
  <sheetFormatPr defaultRowHeight="15" x14ac:dyDescent="0.2"/>
  <cols>
    <col min="1" max="1" width="18.5625" customWidth="1"/>
    <col min="2" max="2" width="14.52734375" bestFit="1" customWidth="1"/>
    <col min="3" max="3" width="12.9140625" bestFit="1" customWidth="1"/>
    <col min="14" max="15" width="8.875" customWidth="1"/>
  </cols>
  <sheetData>
    <row r="1" spans="1:3" x14ac:dyDescent="0.2">
      <c r="A1" t="s">
        <v>1318</v>
      </c>
    </row>
    <row r="3" spans="1:3" x14ac:dyDescent="0.2">
      <c r="A3" t="s">
        <v>1319</v>
      </c>
      <c r="B3" s="3">
        <f>SUM(Sales_Data!I:I)</f>
        <v>71404219.750000015</v>
      </c>
    </row>
    <row r="4" spans="1:3" x14ac:dyDescent="0.2">
      <c r="A4" t="s">
        <v>1320</v>
      </c>
      <c r="B4" s="3">
        <f>SUM(Sales_Data!L:L)</f>
        <v>10715237.390000002</v>
      </c>
    </row>
    <row r="5" spans="1:3" x14ac:dyDescent="0.2">
      <c r="A5" t="s">
        <v>1321</v>
      </c>
      <c r="B5">
        <f>SUM(Sales_Data!J:J)</f>
        <v>5480</v>
      </c>
    </row>
    <row r="6" spans="1:3" x14ac:dyDescent="0.2">
      <c r="A6" t="s">
        <v>1322</v>
      </c>
      <c r="B6">
        <f>COUNTA(Sales_Data!A:A)-1</f>
        <v>1200</v>
      </c>
    </row>
    <row r="9" spans="1:3" x14ac:dyDescent="0.2">
      <c r="A9" s="8" t="s">
        <v>1323</v>
      </c>
      <c r="B9" s="8" t="s">
        <v>1324</v>
      </c>
      <c r="C9" s="8" t="s">
        <v>1325</v>
      </c>
    </row>
    <row r="10" spans="1:3" x14ac:dyDescent="0.2">
      <c r="A10" s="9" t="s">
        <v>3</v>
      </c>
      <c r="B10" s="9" t="s">
        <v>1319</v>
      </c>
      <c r="C10" s="9" t="s">
        <v>1320</v>
      </c>
    </row>
    <row r="11" spans="1:3" x14ac:dyDescent="0.2">
      <c r="A11" s="9" t="s">
        <v>23</v>
      </c>
      <c r="B11" s="10">
        <f>SUMIF(Sales_Data!D:D,A11,Sales_Data!I:I)</f>
        <v>53396510.400000021</v>
      </c>
      <c r="C11" s="10">
        <f>SUMIF(Sales_Data!D:D,A11,Sales_Data!L:L)</f>
        <v>8003115.7900000056</v>
      </c>
    </row>
    <row r="12" spans="1:3" x14ac:dyDescent="0.2">
      <c r="A12" s="9" t="s">
        <v>30</v>
      </c>
      <c r="B12" s="10">
        <f>SUMIF(Sales_Data!D:D,A12,Sales_Data!I:I)</f>
        <v>15966525.300000001</v>
      </c>
      <c r="C12" s="10">
        <f>SUMIF(Sales_Data!D:D,A12,Sales_Data!L:L)</f>
        <v>2380824.3899999983</v>
      </c>
    </row>
    <row r="13" spans="1:3" x14ac:dyDescent="0.2">
      <c r="A13" s="9" t="s">
        <v>15</v>
      </c>
      <c r="B13" s="10">
        <f>SUMIF(Sales_Data!D:D,A13,Sales_Data!I:I)</f>
        <v>2041184.0499999984</v>
      </c>
      <c r="C13" s="10">
        <f>SUMIF(Sales_Data!D:D,A13,Sales_Data!L:L)</f>
        <v>331297.21000000008</v>
      </c>
    </row>
    <row r="14" spans="1:3" x14ac:dyDescent="0.2">
      <c r="A14" s="8" t="s">
        <v>1323</v>
      </c>
      <c r="B14" s="11" t="s">
        <v>1324</v>
      </c>
    </row>
    <row r="15" spans="1:3" x14ac:dyDescent="0.2">
      <c r="A15" s="9" t="s">
        <v>1344</v>
      </c>
      <c r="B15" s="16">
        <f>B4/B3</f>
        <v>0.15006448396910044</v>
      </c>
    </row>
    <row r="17" spans="1:3" x14ac:dyDescent="0.2">
      <c r="A17" s="8" t="s">
        <v>1323</v>
      </c>
      <c r="B17" s="8" t="s">
        <v>1324</v>
      </c>
      <c r="C17" s="8" t="s">
        <v>1325</v>
      </c>
    </row>
    <row r="18" spans="1:3" x14ac:dyDescent="0.2">
      <c r="A18" s="9" t="s">
        <v>6</v>
      </c>
      <c r="B18" s="9" t="s">
        <v>1319</v>
      </c>
      <c r="C18" s="9" t="s">
        <v>1320</v>
      </c>
    </row>
    <row r="19" spans="1:3" x14ac:dyDescent="0.2">
      <c r="A19" s="9" t="s">
        <v>18</v>
      </c>
      <c r="B19" s="9">
        <f>SUMIF(Sales_Data!G:G,A16,Sales_Data!I:I)</f>
        <v>0</v>
      </c>
      <c r="C19" s="9">
        <f>SUMIF(Sales_Data!G:G,A16,Sales_Data!L:L)</f>
        <v>0</v>
      </c>
    </row>
    <row r="20" spans="1:3" x14ac:dyDescent="0.2">
      <c r="A20" s="9" t="s">
        <v>33</v>
      </c>
      <c r="B20" s="9">
        <f>SUMIF(Sales_Data!G:G,A17,Sales_Data!I:I)</f>
        <v>0</v>
      </c>
      <c r="C20" s="9">
        <f>SUMIF(Sales_Data!G:G,A17,Sales_Data!L:L)</f>
        <v>0</v>
      </c>
    </row>
    <row r="21" spans="1:3" x14ac:dyDescent="0.2">
      <c r="A21" s="9" t="s">
        <v>42</v>
      </c>
      <c r="B21" s="9">
        <f>SUMIF(Sales_Data!G:G,A18,Sales_Data!I:I)</f>
        <v>0</v>
      </c>
      <c r="C21" s="9">
        <f>SUMIF(Sales_Data!G:G,A18,Sales_Data!L:L)</f>
        <v>0</v>
      </c>
    </row>
    <row r="22" spans="1:3" x14ac:dyDescent="0.2">
      <c r="A22" s="9" t="s">
        <v>58</v>
      </c>
      <c r="B22" s="9">
        <f>SUMIF(Sales_Data!G:G,A19,Sales_Data!I:I)</f>
        <v>21731759.849999975</v>
      </c>
      <c r="C22" s="9">
        <f>SUMIF(Sales_Data!G:G,A19,Sales_Data!L:L)</f>
        <v>2975602.8999999985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C361C-F80A-4EDC-9BAF-EB45A4EEF4B4}">
  <dimension ref="A3:B31"/>
  <sheetViews>
    <sheetView topLeftCell="A4" workbookViewId="0">
      <selection activeCell="L7" sqref="L7"/>
    </sheetView>
  </sheetViews>
  <sheetFormatPr defaultRowHeight="15" x14ac:dyDescent="0.2"/>
  <cols>
    <col min="1" max="1" width="13.71875" bestFit="1" customWidth="1"/>
    <col min="2" max="2" width="11.97265625" bestFit="1" customWidth="1"/>
  </cols>
  <sheetData>
    <row r="3" spans="1:2" x14ac:dyDescent="0.2">
      <c r="A3" s="13" t="s">
        <v>1331</v>
      </c>
      <c r="B3" t="s">
        <v>1343</v>
      </c>
    </row>
    <row r="4" spans="1:2" x14ac:dyDescent="0.2">
      <c r="A4" s="14">
        <v>2024</v>
      </c>
      <c r="B4">
        <v>36297351.450000003</v>
      </c>
    </row>
    <row r="5" spans="1:2" x14ac:dyDescent="0.2">
      <c r="A5" s="15" t="s">
        <v>1328</v>
      </c>
      <c r="B5">
        <v>3667694.9499999997</v>
      </c>
    </row>
    <row r="6" spans="1:2" x14ac:dyDescent="0.2">
      <c r="A6" s="15" t="s">
        <v>1329</v>
      </c>
      <c r="B6">
        <v>2510187.65</v>
      </c>
    </row>
    <row r="7" spans="1:2" x14ac:dyDescent="0.2">
      <c r="A7" s="15" t="s">
        <v>1330</v>
      </c>
      <c r="B7">
        <v>2419223.0499999998</v>
      </c>
    </row>
    <row r="8" spans="1:2" x14ac:dyDescent="0.2">
      <c r="A8" s="15" t="s">
        <v>1334</v>
      </c>
      <c r="B8">
        <v>2759890.1999999993</v>
      </c>
    </row>
    <row r="9" spans="1:2" x14ac:dyDescent="0.2">
      <c r="A9" s="15" t="s">
        <v>1335</v>
      </c>
      <c r="B9">
        <v>1864093.65</v>
      </c>
    </row>
    <row r="10" spans="1:2" x14ac:dyDescent="0.2">
      <c r="A10" s="15" t="s">
        <v>1336</v>
      </c>
      <c r="B10">
        <v>2465048.0999999996</v>
      </c>
    </row>
    <row r="11" spans="1:2" x14ac:dyDescent="0.2">
      <c r="A11" s="15" t="s">
        <v>1337</v>
      </c>
      <c r="B11">
        <v>2479254.9499999997</v>
      </c>
    </row>
    <row r="12" spans="1:2" x14ac:dyDescent="0.2">
      <c r="A12" s="15" t="s">
        <v>1338</v>
      </c>
      <c r="B12">
        <v>4040262.0999999996</v>
      </c>
    </row>
    <row r="13" spans="1:2" x14ac:dyDescent="0.2">
      <c r="A13" s="15" t="s">
        <v>1339</v>
      </c>
      <c r="B13">
        <v>2438921.1999999997</v>
      </c>
    </row>
    <row r="14" spans="1:2" x14ac:dyDescent="0.2">
      <c r="A14" s="15" t="s">
        <v>1340</v>
      </c>
      <c r="B14">
        <v>4240651.200000002</v>
      </c>
    </row>
    <row r="15" spans="1:2" x14ac:dyDescent="0.2">
      <c r="A15" s="15" t="s">
        <v>1341</v>
      </c>
      <c r="B15">
        <v>4404915.2500000009</v>
      </c>
    </row>
    <row r="16" spans="1:2" x14ac:dyDescent="0.2">
      <c r="A16" s="15" t="s">
        <v>1342</v>
      </c>
      <c r="B16">
        <v>3007209.1500000008</v>
      </c>
    </row>
    <row r="17" spans="1:2" x14ac:dyDescent="0.2">
      <c r="A17" s="14">
        <v>2025</v>
      </c>
      <c r="B17">
        <v>35106868.300000004</v>
      </c>
    </row>
    <row r="18" spans="1:2" x14ac:dyDescent="0.2">
      <c r="A18" s="15" t="s">
        <v>1328</v>
      </c>
      <c r="B18">
        <v>3793248.1500000013</v>
      </c>
    </row>
    <row r="19" spans="1:2" x14ac:dyDescent="0.2">
      <c r="A19" s="15" t="s">
        <v>1329</v>
      </c>
      <c r="B19">
        <v>2123255.7999999998</v>
      </c>
    </row>
    <row r="20" spans="1:2" x14ac:dyDescent="0.2">
      <c r="A20" s="15" t="s">
        <v>1330</v>
      </c>
      <c r="B20">
        <v>3224146.4999999995</v>
      </c>
    </row>
    <row r="21" spans="1:2" x14ac:dyDescent="0.2">
      <c r="A21" s="15" t="s">
        <v>1334</v>
      </c>
      <c r="B21">
        <v>3188682.2</v>
      </c>
    </row>
    <row r="22" spans="1:2" x14ac:dyDescent="0.2">
      <c r="A22" s="15" t="s">
        <v>1335</v>
      </c>
      <c r="B22">
        <v>3300832.4</v>
      </c>
    </row>
    <row r="23" spans="1:2" x14ac:dyDescent="0.2">
      <c r="A23" s="15" t="s">
        <v>1336</v>
      </c>
      <c r="B23">
        <v>2138918.1999999997</v>
      </c>
    </row>
    <row r="24" spans="1:2" x14ac:dyDescent="0.2">
      <c r="A24" s="15" t="s">
        <v>1337</v>
      </c>
      <c r="B24">
        <v>2420404.7499999995</v>
      </c>
    </row>
    <row r="25" spans="1:2" x14ac:dyDescent="0.2">
      <c r="A25" s="15" t="s">
        <v>1338</v>
      </c>
      <c r="B25">
        <v>2542678.35</v>
      </c>
    </row>
    <row r="26" spans="1:2" x14ac:dyDescent="0.2">
      <c r="A26" s="15" t="s">
        <v>1339</v>
      </c>
      <c r="B26">
        <v>2948330.5999999996</v>
      </c>
    </row>
    <row r="27" spans="1:2" x14ac:dyDescent="0.2">
      <c r="A27" s="15" t="s">
        <v>1340</v>
      </c>
      <c r="B27">
        <v>3434906.3</v>
      </c>
    </row>
    <row r="28" spans="1:2" x14ac:dyDescent="0.2">
      <c r="A28" s="15" t="s">
        <v>1341</v>
      </c>
      <c r="B28">
        <v>2380817.1500000004</v>
      </c>
    </row>
    <row r="29" spans="1:2" x14ac:dyDescent="0.2">
      <c r="A29" s="15" t="s">
        <v>1342</v>
      </c>
      <c r="B29">
        <v>3610647.9000000008</v>
      </c>
    </row>
    <row r="30" spans="1:2" x14ac:dyDescent="0.2">
      <c r="A30" s="14" t="s">
        <v>1332</v>
      </c>
    </row>
    <row r="31" spans="1:2" x14ac:dyDescent="0.2">
      <c r="A31" s="14" t="s">
        <v>1333</v>
      </c>
      <c r="B31">
        <v>71404219.750000015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9587C-8FD4-4594-AF3F-8DD37809A1EB}">
  <dimension ref="A3:B14"/>
  <sheetViews>
    <sheetView workbookViewId="0">
      <selection activeCell="M9" sqref="M9"/>
    </sheetView>
  </sheetViews>
  <sheetFormatPr defaultRowHeight="15" x14ac:dyDescent="0.2"/>
  <cols>
    <col min="1" max="1" width="19.50390625" bestFit="1" customWidth="1"/>
    <col min="2" max="2" width="11.703125" bestFit="1" customWidth="1"/>
  </cols>
  <sheetData>
    <row r="3" spans="1:2" x14ac:dyDescent="0.2">
      <c r="A3" s="13" t="s">
        <v>1331</v>
      </c>
      <c r="B3" t="s">
        <v>1343</v>
      </c>
    </row>
    <row r="4" spans="1:2" x14ac:dyDescent="0.2">
      <c r="A4" s="14" t="s">
        <v>39</v>
      </c>
      <c r="B4">
        <v>3852843.3500000006</v>
      </c>
    </row>
    <row r="5" spans="1:2" x14ac:dyDescent="0.2">
      <c r="A5" s="14" t="s">
        <v>173</v>
      </c>
      <c r="B5">
        <v>3818214.0000000005</v>
      </c>
    </row>
    <row r="6" spans="1:2" x14ac:dyDescent="0.2">
      <c r="A6" s="14" t="s">
        <v>25</v>
      </c>
      <c r="B6">
        <v>5379568.5499999989</v>
      </c>
    </row>
    <row r="7" spans="1:2" x14ac:dyDescent="0.2">
      <c r="A7" s="14" t="s">
        <v>107</v>
      </c>
      <c r="B7">
        <v>3605706.75</v>
      </c>
    </row>
    <row r="8" spans="1:2" x14ac:dyDescent="0.2">
      <c r="A8" s="14" t="s">
        <v>182</v>
      </c>
      <c r="B8">
        <v>4396670.4000000004</v>
      </c>
    </row>
    <row r="9" spans="1:2" x14ac:dyDescent="0.2">
      <c r="A9" s="14" t="s">
        <v>77</v>
      </c>
      <c r="B9">
        <v>3644340.6999999997</v>
      </c>
    </row>
    <row r="10" spans="1:2" x14ac:dyDescent="0.2">
      <c r="A10" s="14" t="s">
        <v>91</v>
      </c>
      <c r="B10">
        <v>3949347.45</v>
      </c>
    </row>
    <row r="11" spans="1:2" x14ac:dyDescent="0.2">
      <c r="A11" s="14" t="s">
        <v>83</v>
      </c>
      <c r="B11">
        <v>3943893.7500000005</v>
      </c>
    </row>
    <row r="12" spans="1:2" x14ac:dyDescent="0.2">
      <c r="A12" s="14" t="s">
        <v>80</v>
      </c>
      <c r="B12">
        <v>3362555.45</v>
      </c>
    </row>
    <row r="13" spans="1:2" x14ac:dyDescent="0.2">
      <c r="A13" s="14" t="s">
        <v>86</v>
      </c>
      <c r="B13">
        <v>3425700.9000000004</v>
      </c>
    </row>
    <row r="14" spans="1:2" x14ac:dyDescent="0.2">
      <c r="A14" s="14" t="s">
        <v>1333</v>
      </c>
      <c r="B14">
        <v>39378841.299999997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Sales_Data</vt:lpstr>
      <vt:lpstr>Analysis</vt:lpstr>
      <vt:lpstr>Monthly analysis</vt:lpstr>
      <vt:lpstr>Top 10 Product by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fejankhan2004@outlook.com</cp:lastModifiedBy>
  <dcterms:created xsi:type="dcterms:W3CDTF">2026-09-26T14:14:59Z</dcterms:created>
  <dcterms:modified xsi:type="dcterms:W3CDTF">2026-09-29T13:59:27Z</dcterms:modified>
</cp:coreProperties>
</file>